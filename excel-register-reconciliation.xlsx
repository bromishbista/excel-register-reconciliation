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/>
  <mc:AlternateContent xmlns:mc="http://schemas.openxmlformats.org/markup-compatibility/2006">
    <mc:Choice Requires="x15">
      <x15ac:absPath xmlns:x15ac="http://schemas.microsoft.com/office/spreadsheetml/2010/11/ac" url="/Users/bromish/Documents/Extra/"/>
    </mc:Choice>
  </mc:AlternateContent>
  <xr:revisionPtr revIDLastSave="0" documentId="13_ncr:1_{A0DB99A6-FE0E-2644-93BE-19FDAE961EDA}" xr6:coauthVersionLast="47" xr6:coauthVersionMax="47" xr10:uidLastSave="{00000000-0000-0000-0000-000000000000}"/>
  <bookViews>
    <workbookView xWindow="34200" yWindow="1920" windowWidth="17300" windowHeight="21000" tabRatio="500" firstSheet="17" activeTab="22" xr2:uid="{00000000-000D-0000-FFFF-FFFF00000000}"/>
  </bookViews>
  <sheets>
    <sheet name="Start Here" sheetId="1" r:id="rId1"/>
    <sheet name="Register_A" sheetId="2" r:id="rId2"/>
    <sheet name="Pivot_Status" sheetId="15" r:id="rId3"/>
    <sheet name="Register_B" sheetId="3" r:id="rId4"/>
    <sheet name="Pivot_risk" sheetId="17" r:id="rId5"/>
    <sheet name="Risk_Log" sheetId="4" r:id="rId6"/>
    <sheet name="Ex1_Clean" sheetId="5" r:id="rId7"/>
    <sheet name="Ex2_Crosswalk" sheetId="6" r:id="rId8"/>
    <sheet name="Ex3_Risks" sheetId="7" r:id="rId9"/>
    <sheet name="Ex4_Summary" sheetId="8" r:id="rId10"/>
    <sheet name="Answers" sheetId="9" r:id="rId11"/>
    <sheet name="Issue_Log" sheetId="18" r:id="rId12"/>
    <sheet name="finance_Clean" sheetId="20" r:id="rId13"/>
    <sheet name="PMO_Clean" sheetId="21" r:id="rId14"/>
    <sheet name="Spend_Q1" sheetId="26" r:id="rId15"/>
    <sheet name="Missing_in_Finance" sheetId="30" r:id="rId16"/>
    <sheet name="Crosswalk" sheetId="29" r:id="rId17"/>
    <sheet name="Spend_by_Code" sheetId="27" r:id="rId18"/>
    <sheet name="Spend_by_Category" sheetId="28" r:id="rId19"/>
    <sheet name="forecast_by_quarter" sheetId="31" r:id="rId20"/>
    <sheet name="Missing_in_PMO" sheetId="32" r:id="rId21"/>
    <sheet name="Budget_Burn" sheetId="33" r:id="rId22"/>
    <sheet name="Dashboard" sheetId="34" r:id="rId23"/>
  </sheets>
  <definedNames>
    <definedName name="ExternalData_1" localSheetId="12" hidden="1">finance_Clean!$A$1:$G$23</definedName>
    <definedName name="ExternalData_1" localSheetId="19" hidden="1">forecast_by_quarter!$A$1:$C$89</definedName>
    <definedName name="ExternalData_1" localSheetId="13" hidden="1">PMO_Clean!$A$1:$I$25</definedName>
    <definedName name="ExternalData_1" localSheetId="14" hidden="1">Spend_Q1!$A$1:$D$61</definedName>
    <definedName name="ExternalData_2" localSheetId="21" hidden="1">Budget_Burn!$A$1:$N$25</definedName>
    <definedName name="ExternalData_2" localSheetId="20" hidden="1">Missing_in_PMO!$A$1:$C$3</definedName>
    <definedName name="ExternalData_2" localSheetId="17" hidden="1">Spend_by_Code!$A$1:$B$22</definedName>
    <definedName name="ExternalData_3" localSheetId="16" hidden="1">'Crosswalk'!$A$1:$L$25</definedName>
    <definedName name="ExternalData_3" localSheetId="18" hidden="1">Spend_by_Category!$A$1:$B$4</definedName>
    <definedName name="ExternalData_4" localSheetId="15" hidden="1">Missing_in_Finance!$A$1:$I$5</definedName>
  </definedNames>
  <calcPr calcId="191029" iterateDelta="1E-4"/>
  <pivotCaches>
    <pivotCache cacheId="18" r:id="rId24"/>
    <pivotCache cacheId="23" r:id="rId25"/>
    <pivotCache cacheId="28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34" l="1"/>
  <c r="B1" i="34"/>
  <c r="B2" i="34"/>
  <c r="B5" i="8"/>
  <c r="B17" i="5"/>
  <c r="A14" i="5"/>
  <c r="B10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E21" i="6"/>
  <c r="F21" i="6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D5" i="6"/>
  <c r="E5" i="6" s="1"/>
  <c r="F5" i="6" s="1"/>
  <c r="D7" i="6"/>
  <c r="E7" i="6" s="1"/>
  <c r="F7" i="6" s="1"/>
  <c r="D15" i="6"/>
  <c r="E15" i="6" s="1"/>
  <c r="F15" i="6" s="1"/>
  <c r="D17" i="6"/>
  <c r="E17" i="6" s="1"/>
  <c r="F17" i="6" s="1"/>
  <c r="B8" i="8"/>
  <c r="B7" i="8"/>
  <c r="B6" i="8"/>
  <c r="B4" i="8"/>
  <c r="B3" i="8"/>
  <c r="B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2" i="7"/>
  <c r="K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C8" i="5"/>
  <c r="G8" i="5" s="1"/>
  <c r="G5" i="5"/>
  <c r="G14" i="5"/>
  <c r="G16" i="5"/>
  <c r="G22" i="5"/>
  <c r="G23" i="5"/>
  <c r="G24" i="5"/>
  <c r="G2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" i="5"/>
  <c r="F5" i="5"/>
  <c r="E8" i="5"/>
  <c r="E18" i="5"/>
  <c r="E2" i="5"/>
  <c r="L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G2" i="7"/>
  <c r="F2" i="7"/>
  <c r="J2" i="7" s="1"/>
  <c r="E2" i="7"/>
  <c r="D2" i="7"/>
  <c r="C2" i="7"/>
  <c r="B2" i="7"/>
  <c r="A2" i="7"/>
  <c r="C26" i="6"/>
  <c r="B26" i="6"/>
  <c r="D26" i="6" s="1"/>
  <c r="E26" i="6" s="1"/>
  <c r="F26" i="6" s="1"/>
  <c r="A26" i="6"/>
  <c r="C25" i="6"/>
  <c r="B25" i="6"/>
  <c r="D25" i="6" s="1"/>
  <c r="E25" i="6" s="1"/>
  <c r="F25" i="6" s="1"/>
  <c r="A25" i="6"/>
  <c r="C24" i="6"/>
  <c r="B24" i="6"/>
  <c r="D24" i="6" s="1"/>
  <c r="E24" i="6" s="1"/>
  <c r="F24" i="6" s="1"/>
  <c r="A24" i="6"/>
  <c r="C23" i="6"/>
  <c r="B23" i="6"/>
  <c r="D23" i="6" s="1"/>
  <c r="E23" i="6" s="1"/>
  <c r="F23" i="6" s="1"/>
  <c r="G23" i="6" s="1"/>
  <c r="H23" i="6" s="1"/>
  <c r="A23" i="6"/>
  <c r="C22" i="6"/>
  <c r="B22" i="6"/>
  <c r="D22" i="6" s="1"/>
  <c r="E22" i="6" s="1"/>
  <c r="F22" i="6" s="1"/>
  <c r="A22" i="6"/>
  <c r="C21" i="6"/>
  <c r="B21" i="6"/>
  <c r="A21" i="6"/>
  <c r="C20" i="6"/>
  <c r="B20" i="6"/>
  <c r="D20" i="6" s="1"/>
  <c r="E20" i="6" s="1"/>
  <c r="F20" i="6" s="1"/>
  <c r="A20" i="6"/>
  <c r="C19" i="6"/>
  <c r="B19" i="6"/>
  <c r="D19" i="6" s="1"/>
  <c r="E19" i="6" s="1"/>
  <c r="F19" i="6" s="1"/>
  <c r="A19" i="6"/>
  <c r="C18" i="6"/>
  <c r="B18" i="6"/>
  <c r="D18" i="6" s="1"/>
  <c r="E18" i="6" s="1"/>
  <c r="F18" i="6" s="1"/>
  <c r="G18" i="6" s="1"/>
  <c r="H18" i="6" s="1"/>
  <c r="A18" i="6"/>
  <c r="C17" i="6"/>
  <c r="B17" i="6"/>
  <c r="A17" i="6"/>
  <c r="C16" i="6"/>
  <c r="B16" i="6"/>
  <c r="D16" i="6" s="1"/>
  <c r="E16" i="6" s="1"/>
  <c r="F16" i="6" s="1"/>
  <c r="A16" i="6"/>
  <c r="C15" i="6"/>
  <c r="B15" i="6"/>
  <c r="A15" i="6"/>
  <c r="C14" i="6"/>
  <c r="B14" i="6"/>
  <c r="D14" i="6" s="1"/>
  <c r="E14" i="6" s="1"/>
  <c r="F14" i="6" s="1"/>
  <c r="A14" i="6"/>
  <c r="C13" i="6"/>
  <c r="B13" i="6"/>
  <c r="D13" i="6" s="1"/>
  <c r="E13" i="6" s="1"/>
  <c r="F13" i="6" s="1"/>
  <c r="A13" i="6"/>
  <c r="C12" i="6"/>
  <c r="B12" i="6"/>
  <c r="D12" i="6" s="1"/>
  <c r="E12" i="6" s="1"/>
  <c r="F12" i="6" s="1"/>
  <c r="A12" i="6"/>
  <c r="C11" i="6"/>
  <c r="B11" i="6"/>
  <c r="D11" i="6" s="1"/>
  <c r="E11" i="6" s="1"/>
  <c r="F11" i="6" s="1"/>
  <c r="A11" i="6"/>
  <c r="C10" i="6"/>
  <c r="B10" i="6"/>
  <c r="D10" i="6" s="1"/>
  <c r="E10" i="6" s="1"/>
  <c r="F10" i="6" s="1"/>
  <c r="A10" i="6"/>
  <c r="C9" i="6"/>
  <c r="B9" i="6"/>
  <c r="D9" i="6" s="1"/>
  <c r="E9" i="6" s="1"/>
  <c r="F9" i="6" s="1"/>
  <c r="A9" i="6"/>
  <c r="C8" i="6"/>
  <c r="B8" i="6"/>
  <c r="D8" i="6" s="1"/>
  <c r="E8" i="6" s="1"/>
  <c r="F8" i="6" s="1"/>
  <c r="G8" i="6" s="1"/>
  <c r="H8" i="6" s="1"/>
  <c r="A8" i="6"/>
  <c r="C7" i="6"/>
  <c r="B7" i="6"/>
  <c r="A7" i="6"/>
  <c r="C6" i="6"/>
  <c r="B6" i="6"/>
  <c r="D6" i="6" s="1"/>
  <c r="E6" i="6" s="1"/>
  <c r="F6" i="6" s="1"/>
  <c r="A6" i="6"/>
  <c r="C5" i="6"/>
  <c r="B5" i="6"/>
  <c r="A5" i="6"/>
  <c r="C4" i="6"/>
  <c r="B4" i="6"/>
  <c r="D4" i="6" s="1"/>
  <c r="E4" i="6" s="1"/>
  <c r="F4" i="6" s="1"/>
  <c r="G4" i="6" s="1"/>
  <c r="A4" i="6"/>
  <c r="C3" i="6"/>
  <c r="B3" i="6"/>
  <c r="D3" i="6" s="1"/>
  <c r="E3" i="6" s="1"/>
  <c r="F3" i="6" s="1"/>
  <c r="G3" i="6" s="1"/>
  <c r="H3" i="6" s="1"/>
  <c r="A3" i="6"/>
  <c r="C2" i="6"/>
  <c r="B2" i="6"/>
  <c r="D2" i="6" s="1"/>
  <c r="A2" i="6"/>
  <c r="D26" i="5"/>
  <c r="F26" i="5" s="1"/>
  <c r="C26" i="5"/>
  <c r="B26" i="5"/>
  <c r="E26" i="5" s="1"/>
  <c r="A26" i="5"/>
  <c r="D25" i="5"/>
  <c r="F25" i="5" s="1"/>
  <c r="C25" i="5"/>
  <c r="G25" i="5" s="1"/>
  <c r="B25" i="5"/>
  <c r="E25" i="5" s="1"/>
  <c r="A25" i="5"/>
  <c r="D24" i="5"/>
  <c r="F24" i="5" s="1"/>
  <c r="C24" i="5"/>
  <c r="B24" i="5"/>
  <c r="E24" i="5" s="1"/>
  <c r="A24" i="5"/>
  <c r="D23" i="5"/>
  <c r="F23" i="5" s="1"/>
  <c r="C23" i="5"/>
  <c r="B23" i="5"/>
  <c r="E23" i="5" s="1"/>
  <c r="A23" i="5"/>
  <c r="D22" i="5"/>
  <c r="F22" i="5" s="1"/>
  <c r="C22" i="5"/>
  <c r="B22" i="5"/>
  <c r="E22" i="5" s="1"/>
  <c r="A22" i="5"/>
  <c r="D21" i="5"/>
  <c r="F21" i="5" s="1"/>
  <c r="C21" i="5"/>
  <c r="G21" i="5" s="1"/>
  <c r="B21" i="5"/>
  <c r="A21" i="5"/>
  <c r="D20" i="5"/>
  <c r="F20" i="5" s="1"/>
  <c r="C20" i="5"/>
  <c r="G20" i="5" s="1"/>
  <c r="B20" i="5"/>
  <c r="E20" i="5" s="1"/>
  <c r="A20" i="5"/>
  <c r="D19" i="5"/>
  <c r="F19" i="5" s="1"/>
  <c r="C19" i="5"/>
  <c r="G19" i="5" s="1"/>
  <c r="B19" i="5"/>
  <c r="E19" i="5" s="1"/>
  <c r="A19" i="5"/>
  <c r="D18" i="5"/>
  <c r="F18" i="5" s="1"/>
  <c r="C18" i="5"/>
  <c r="G18" i="5" s="1"/>
  <c r="B18" i="5"/>
  <c r="A18" i="5"/>
  <c r="D17" i="5"/>
  <c r="F17" i="5" s="1"/>
  <c r="C17" i="5"/>
  <c r="G17" i="5" s="1"/>
  <c r="E17" i="5"/>
  <c r="A17" i="5"/>
  <c r="D16" i="5"/>
  <c r="F16" i="5" s="1"/>
  <c r="C16" i="5"/>
  <c r="B16" i="5"/>
  <c r="E16" i="5" s="1"/>
  <c r="A16" i="5"/>
  <c r="D15" i="5"/>
  <c r="F15" i="5" s="1"/>
  <c r="C15" i="5"/>
  <c r="G15" i="5" s="1"/>
  <c r="B15" i="5"/>
  <c r="E15" i="5" s="1"/>
  <c r="A15" i="5"/>
  <c r="D14" i="5"/>
  <c r="F14" i="5" s="1"/>
  <c r="C14" i="5"/>
  <c r="B14" i="5"/>
  <c r="E14" i="5" s="1"/>
  <c r="D13" i="5"/>
  <c r="F13" i="5" s="1"/>
  <c r="C13" i="5"/>
  <c r="G13" i="5" s="1"/>
  <c r="B13" i="5"/>
  <c r="E13" i="5" s="1"/>
  <c r="A13" i="5"/>
  <c r="D12" i="5"/>
  <c r="F12" i="5" s="1"/>
  <c r="C12" i="5"/>
  <c r="G12" i="5" s="1"/>
  <c r="B12" i="5"/>
  <c r="E12" i="5" s="1"/>
  <c r="A12" i="5"/>
  <c r="D11" i="5"/>
  <c r="F11" i="5" s="1"/>
  <c r="C11" i="5"/>
  <c r="G11" i="5" s="1"/>
  <c r="B11" i="5"/>
  <c r="E11" i="5" s="1"/>
  <c r="A11" i="5"/>
  <c r="D10" i="5"/>
  <c r="F10" i="5" s="1"/>
  <c r="C10" i="5"/>
  <c r="G10" i="5" s="1"/>
  <c r="B10" i="5"/>
  <c r="E10" i="5" s="1"/>
  <c r="A10" i="5"/>
  <c r="D9" i="5"/>
  <c r="F9" i="5" s="1"/>
  <c r="C9" i="5"/>
  <c r="G9" i="5" s="1"/>
  <c r="B9" i="5"/>
  <c r="E9" i="5" s="1"/>
  <c r="A9" i="5"/>
  <c r="D8" i="5"/>
  <c r="F8" i="5" s="1"/>
  <c r="B8" i="5"/>
  <c r="A8" i="5"/>
  <c r="D7" i="5"/>
  <c r="F7" i="5" s="1"/>
  <c r="C7" i="5"/>
  <c r="G7" i="5" s="1"/>
  <c r="B7" i="5"/>
  <c r="E7" i="5" s="1"/>
  <c r="A7" i="5"/>
  <c r="H7" i="5" s="1"/>
  <c r="D6" i="5"/>
  <c r="F6" i="5" s="1"/>
  <c r="C6" i="5"/>
  <c r="G6" i="5" s="1"/>
  <c r="B6" i="5"/>
  <c r="E6" i="5" s="1"/>
  <c r="A6" i="5"/>
  <c r="D5" i="5"/>
  <c r="C5" i="5"/>
  <c r="B5" i="5"/>
  <c r="E5" i="5" s="1"/>
  <c r="A5" i="5"/>
  <c r="D4" i="5"/>
  <c r="F4" i="5" s="1"/>
  <c r="C4" i="5"/>
  <c r="G4" i="5" s="1"/>
  <c r="B4" i="5"/>
  <c r="E4" i="5" s="1"/>
  <c r="A4" i="5"/>
  <c r="D3" i="5"/>
  <c r="F3" i="5" s="1"/>
  <c r="C3" i="5"/>
  <c r="G3" i="5" s="1"/>
  <c r="B3" i="5"/>
  <c r="E3" i="5" s="1"/>
  <c r="A3" i="5"/>
  <c r="D2" i="5"/>
  <c r="F2" i="5" s="1"/>
  <c r="C2" i="5"/>
  <c r="G2" i="5" s="1" a="1"/>
  <c r="B2" i="5"/>
  <c r="A2" i="5"/>
  <c r="H5" i="5" s="1"/>
  <c r="F2" i="3"/>
  <c r="H4" i="5" l="1"/>
  <c r="H12" i="5"/>
  <c r="H17" i="5"/>
  <c r="H22" i="5"/>
  <c r="H15" i="5"/>
  <c r="H25" i="5"/>
  <c r="G19" i="6"/>
  <c r="H19" i="6" s="1"/>
  <c r="H13" i="5"/>
  <c r="H23" i="5"/>
  <c r="H3" i="5"/>
  <c r="G17" i="6"/>
  <c r="H11" i="5"/>
  <c r="H21" i="5"/>
  <c r="H6" i="5"/>
  <c r="H9" i="5"/>
  <c r="H14" i="5"/>
  <c r="H19" i="5"/>
  <c r="H24" i="5"/>
  <c r="H20" i="5"/>
  <c r="H10" i="5"/>
  <c r="H18" i="5"/>
  <c r="H26" i="5"/>
  <c r="H16" i="5"/>
  <c r="H8" i="5"/>
  <c r="H2" i="5"/>
  <c r="G9" i="6"/>
  <c r="G6" i="6"/>
  <c r="H6" i="6" s="1"/>
  <c r="G14" i="6"/>
  <c r="H14" i="6" s="1"/>
  <c r="H25" i="6"/>
  <c r="G25" i="6"/>
  <c r="H17" i="6"/>
  <c r="G22" i="6"/>
  <c r="H22" i="6" s="1"/>
  <c r="G21" i="6"/>
  <c r="G11" i="6"/>
  <c r="E2" i="6"/>
  <c r="G20" i="6"/>
  <c r="G10" i="6"/>
  <c r="H10" i="6" s="1"/>
  <c r="H4" i="6"/>
  <c r="H9" i="6"/>
  <c r="G12" i="6"/>
  <c r="F2" i="6" l="1"/>
  <c r="G2" i="6" s="1"/>
  <c r="H2" i="6"/>
  <c r="G24" i="6"/>
  <c r="H24" i="6" s="1"/>
  <c r="G16" i="6"/>
  <c r="H16" i="6" s="1"/>
  <c r="H20" i="6"/>
  <c r="H13" i="6"/>
  <c r="G13" i="6"/>
  <c r="G15" i="6"/>
  <c r="H15" i="6"/>
  <c r="H12" i="6"/>
  <c r="H11" i="6"/>
  <c r="H21" i="6"/>
  <c r="G5" i="6"/>
  <c r="H5" i="6" s="1"/>
  <c r="H26" i="6"/>
  <c r="G26" i="6"/>
  <c r="G7" i="6"/>
  <c r="H7" i="6" s="1"/>
  <c r="B9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1576D-FEA6-E343-AE1D-2AF269B71243}" keepAlive="1" name="Query - Budget_Burn" description="Connection to the 'Budget_Burn' query in the workbook." type="5" refreshedVersion="8" background="1" saveData="1">
    <dbPr connection="Provider=Microsoft.Mashup.OleDb.1;Data Source=$Workbook$;Location=Budget_Burn;Extended Properties=&quot;&quot;" command="SELECT * FROM [Budget_Burn]"/>
  </connection>
  <connection id="2" xr16:uid="{24EC2474-2948-5748-AD5B-E455F7CA3F46}" keepAlive="1" name="Query - Crosswalk" description="Connection to the 'Crosswalk' query in the workbook." type="5" refreshedVersion="8" background="1" saveData="1">
    <dbPr connection="Provider=Microsoft.Mashup.OleDb.1;Data Source=$Workbook$;Location=Crosswalk;Extended Properties=&quot;&quot;" command="SELECT * FROM [Crosswalk]"/>
  </connection>
  <connection id="3" xr16:uid="{DF2B05A6-7781-8447-A8F1-0904AB6B9060}" keepAlive="1" name="Query - finance_Clean" description="Connection to the 'finance_Clean' query in the workbook." type="5" refreshedVersion="8" background="1" saveData="1">
    <dbPr connection="Provider=Microsoft.Mashup.OleDb.1;Data Source=$Workbook$;Location=finance_Clean;Extended Properties=&quot;&quot;" command="SELECT * FROM [finance_Clean]"/>
  </connection>
  <connection id="4" xr16:uid="{7CC2E82B-89FE-3649-B11C-AE04DBF8B1F3}" keepAlive="1" name="Query - forecast_by_quarter" description="Connection to the 'forecast_by_quarter' query in the workbook." type="5" refreshedVersion="8" background="1" saveData="1">
    <dbPr connection="Provider=Microsoft.Mashup.OleDb.1;Data Source=$Workbook$;Location=forecast_by_quarter;Extended Properties=&quot;&quot;" command="SELECT * FROM [forecast_by_quarter]"/>
  </connection>
  <connection id="5" xr16:uid="{4152AE5D-1572-414F-B32D-718157CEB7C4}" keepAlive="1" name="Query - Missing_in_Finance" description="Connection to the 'Missing_in_Finance' query in the workbook." type="5" refreshedVersion="8" background="1" saveData="1">
    <dbPr connection="Provider=Microsoft.Mashup.OleDb.1;Data Source=$Workbook$;Location=Missing_in_Finance;Extended Properties=&quot;&quot;" command="SELECT * FROM [Missing_in_Finance]"/>
  </connection>
  <connection id="6" xr16:uid="{6F3DF9CB-63FA-544C-9AB9-C81AFF78FE27}" keepAlive="1" name="Query - Missing_in_PMO" description="Connection to the 'Missing_in_PMO' query in the workbook." type="5" refreshedVersion="8" background="1" saveData="1">
    <dbPr connection="Provider=Microsoft.Mashup.OleDb.1;Data Source=$Workbook$;Location=Missing_in_PMO;Extended Properties=&quot;&quot;" command="SELECT * FROM [Missing_in_PMO]"/>
  </connection>
  <connection id="7" xr16:uid="{4946C92E-43AA-8F42-87FD-27E13D9715A0}" keepAlive="1" name="Query - PMO_Clean" description="Connection to the 'PMO_Clean' query in the workbook." type="5" refreshedVersion="8" background="1" saveData="1">
    <dbPr connection="Provider=Microsoft.Mashup.OleDb.1;Data Source=$Workbook$;Location=PMO_Clean;Extended Properties=&quot;&quot;" command="SELECT * FROM [PMO_Clean]"/>
  </connection>
  <connection id="8" xr16:uid="{53E2C9A6-E973-F047-9908-751552B2D1D9}" keepAlive="1" name="Query - spend_2026-07" description="Connection to the 'spend_2026-07' query in the workbook." type="5" refreshedVersion="8" background="1" saveData="1">
    <dbPr connection="Provider=Microsoft.Mashup.OleDb.1;Data Source=$Workbook$;Location=spend_2026-07;Extended Properties=&quot;&quot;" command="SELECT * FROM [spend_2026-07]"/>
  </connection>
  <connection id="9" xr16:uid="{828FF0C1-4FF8-764E-86F2-0A7FFB6E28F3}" keepAlive="1" name="Query - spend_2026-08" description="Connection to the 'spend_2026-08' query in the workbook." type="5" refreshedVersion="8" background="1" saveData="1">
    <dbPr connection="Provider=Microsoft.Mashup.OleDb.1;Data Source=$Workbook$;Location=spend_2026-08;Extended Properties=&quot;&quot;" command="SELECT * FROM [spend_2026-08]"/>
  </connection>
  <connection id="10" xr16:uid="{F3E4F39B-1534-AE4A-BE0D-01EE9AA6F865}" keepAlive="1" name="Query - spend_2026-09" description="Connection to the 'spend_2026-09' query in the workbook." type="5" refreshedVersion="8" background="1" saveData="1">
    <dbPr connection="Provider=Microsoft.Mashup.OleDb.1;Data Source=$Workbook$;Location=spend_2026-09;Extended Properties=&quot;&quot;" command="SELECT * FROM [spend_2026-09]"/>
  </connection>
  <connection id="11" xr16:uid="{7E942C83-CFCD-2E42-9D3A-EBD0AC0E6B3E}" keepAlive="1" name="Query - spend_2026-10" description="Connection to the 'spend_2026-10' query in the workbook." type="5" refreshedVersion="8" background="1" saveData="1">
    <dbPr connection="Provider=Microsoft.Mashup.OleDb.1;Data Source=$Workbook$;Location=spend_2026-10;Extended Properties=&quot;&quot;" command="SELECT * FROM [spend_2026-10]"/>
  </connection>
  <connection id="12" xr16:uid="{5504FDB7-BDBA-5548-B05A-3F9E1F4A8634}" keepAlive="1" name="Query - Spend_by_Category" description="Connection to the 'Spend_by_Category' query in the workbook." type="5" refreshedVersion="8" background="1" saveData="1">
    <dbPr connection="Provider=Microsoft.Mashup.OleDb.1;Data Source=$Workbook$;Location=Spend_by_Category;Extended Properties=&quot;&quot;" command="SELECT * FROM [Spend_by_Category]"/>
  </connection>
  <connection id="13" xr16:uid="{3A700BDE-9D78-644C-BBF2-B62E85E72178}" keepAlive="1" name="Query - Spend_by_Code" description="Connection to the 'Spend_by_Code' query in the workbook." type="5" refreshedVersion="8" background="1" saveData="1">
    <dbPr connection="Provider=Microsoft.Mashup.OleDb.1;Data Source=$Workbook$;Location=Spend_by_Code;Extended Properties=&quot;&quot;" command="SELECT * FROM [Spend_by_Code]"/>
  </connection>
  <connection id="14" xr16:uid="{798A0B6A-7D17-DA44-9A3F-BBD455DC4DE8}" keepAlive="1" name="Query - Spend_Q1" description="Connection to the 'Spend_Q1' query in the workbook." type="5" refreshedVersion="8" background="1" saveData="1">
    <dbPr connection="Provider=Microsoft.Mashup.OleDb.1;Data Source=$Workbook$;Location=Spend_Q1;Extended Properties=&quot;&quot;" command="SELECT * FROM [Spend_Q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<sst xmlns="http://schemas.openxmlformats.org/spreadsheetml/2006/main" count="1861" uniqueCount="485">
  <si>
    <t>Step 1 · Excel practice workbook</t>
  </si>
  <si>
    <t>Scenario: you're the new data analyst at a council. Three teams keep separate spreadsheets about the same projects, and none of them agree. Your job: clean, match and check them.</t>
  </si>
  <si>
    <t>DATA SHEETS (don't edit)</t>
  </si>
  <si>
    <t>Register_A</t>
  </si>
  <si>
    <t>The PMO project register: 25 rows, project IDs PRJ-001 to PRJ-024. Contains a duplicate, a missing owner, messy text and a date error.</t>
  </si>
  <si>
    <t>Register_B</t>
  </si>
  <si>
    <t>The finance register: different codes (FIN-…), messy titles, and some projects missing or extra.</t>
  </si>
  <si>
    <t>Risk_Log</t>
  </si>
  <si>
    <t>40 risks linked to projects. Some have no owner, some are overdue, two point to projects that don't exist.</t>
  </si>
  <si>
    <t>PRACTICE SHEETS</t>
  </si>
  <si>
    <t>Ex1_Clean</t>
  </si>
  <si>
    <t>Lessons 2–3: clean text and flag problems with TRIM, PROPER, IF, COUNTIF.</t>
  </si>
  <si>
    <t>Ex2_Crosswalk</t>
  </si>
  <si>
    <t>Lessons 4–5: match Register_A to Register_B with INDEX/MATCH or XLOOKUP, then compare budgets.</t>
  </si>
  <si>
    <t>Ex3_Risks</t>
  </si>
  <si>
    <t>Lessons 3, 4, 8: risk scores, ratings, overdue flags, orphan checks.</t>
  </si>
  <si>
    <t>Ex4_Summary</t>
  </si>
  <si>
    <t>Lesson 4: summary counts and totals with COUNTIFS and SUMIFS.</t>
  </si>
  <si>
    <t>Answers</t>
  </si>
  <si>
    <t>Worked formulas for every exercise. Only look after you've tried!</t>
  </si>
  <si>
    <t>LEGEND</t>
  </si>
  <si>
    <t>Yellow cells</t>
  </si>
  <si>
    <t>Your answer cells: type your formula in these.</t>
  </si>
  <si>
    <t>Green row</t>
  </si>
  <si>
    <t>A worked example showing the pattern. Copy it down, then work out the rest yourself.</t>
  </si>
  <si>
    <t>PIVOT TABLE TASKS (Lesson 6)</t>
  </si>
  <si>
    <t>Pivot 1</t>
  </si>
  <si>
    <t>Click inside Register_A → Insert → PivotTable. Rows = Division, Values = Sum of Budget. Which division spends most?</t>
  </si>
  <si>
    <t>Pivot 2</t>
  </si>
  <si>
    <t>Same pivot: add Status to Columns. How many Red projects does each division have? (Change Values to Count.)</t>
  </si>
  <si>
    <t>Pivot 3</t>
  </si>
  <si>
    <t>From Risk_Log: Rows = Owner, Columns = Status, Values = Count of Risk ID. Who owns the most open risks?</t>
  </si>
  <si>
    <t>MINI PROJECT (Lesson 10)</t>
  </si>
  <si>
    <t>Deliverables</t>
  </si>
  <si>
    <t>1) Finished crosswalk  2) Issue log listing every problem you found (sheet, row, problem, suggested fix)  3) A 5-line summary for your manager.</t>
  </si>
  <si>
    <t>Project ID</t>
  </si>
  <si>
    <t>Initiative Name</t>
  </si>
  <si>
    <t>Owner</t>
  </si>
  <si>
    <t>Division</t>
  </si>
  <si>
    <t>Start Date</t>
  </si>
  <si>
    <t>End Date</t>
  </si>
  <si>
    <t>Budget ($)</t>
  </si>
  <si>
    <t>Status</t>
  </si>
  <si>
    <t>PRJ-001</t>
  </si>
  <si>
    <t>Customer Portal Upgrade</t>
  </si>
  <si>
    <t>Priya Sharma</t>
  </si>
  <si>
    <t>Digital</t>
  </si>
  <si>
    <t>Green</t>
  </si>
  <si>
    <t>PRJ-002</t>
  </si>
  <si>
    <t>Payroll System Replacement</t>
  </si>
  <si>
    <t>Liam O'Brien</t>
  </si>
  <si>
    <t>PRJ-003</t>
  </si>
  <si>
    <t>Records Digitisation</t>
  </si>
  <si>
    <t>James Wilson</t>
  </si>
  <si>
    <t>Community</t>
  </si>
  <si>
    <t>PRJ-004</t>
  </si>
  <si>
    <t>Cyber Security Uplift</t>
  </si>
  <si>
    <t xml:space="preserve">amber </t>
  </si>
  <si>
    <t>PRJ-005</t>
  </si>
  <si>
    <t>Fleet Telematics Rollout</t>
  </si>
  <si>
    <t>Mei Chen</t>
  </si>
  <si>
    <t>Operations</t>
  </si>
  <si>
    <t>Complete</t>
  </si>
  <si>
    <t>PRJ-006</t>
  </si>
  <si>
    <t>Data Warehouse Migration</t>
  </si>
  <si>
    <t>Aisha Khan</t>
  </si>
  <si>
    <t>Corporate</t>
  </si>
  <si>
    <t>PRJ-007</t>
  </si>
  <si>
    <t>Mobile Inspections App</t>
  </si>
  <si>
    <t>PRJ-008</t>
  </si>
  <si>
    <t>Office Network Refresh</t>
  </si>
  <si>
    <t>Daniel Park</t>
  </si>
  <si>
    <t>Red</t>
  </si>
  <si>
    <t>PRJ-009</t>
  </si>
  <si>
    <t>Grants Management System</t>
  </si>
  <si>
    <t>Amber</t>
  </si>
  <si>
    <t>PRJ-010</t>
  </si>
  <si>
    <t>Asset Register Cleanup</t>
  </si>
  <si>
    <t>PRJ-011</t>
  </si>
  <si>
    <t>Workforce Planning Tool</t>
  </si>
  <si>
    <t>PRJ-012</t>
  </si>
  <si>
    <t>Call Centre Modernisation</t>
  </si>
  <si>
    <t>PRJ-013</t>
  </si>
  <si>
    <t>Identity &amp; Access Management</t>
  </si>
  <si>
    <t>Tom Nguyen</t>
  </si>
  <si>
    <t>PRJ-014</t>
  </si>
  <si>
    <t>Budget Reporting Automation</t>
  </si>
  <si>
    <t>PRJ-015</t>
  </si>
  <si>
    <t xml:space="preserve">  website accessibility fixes </t>
  </si>
  <si>
    <t>PRJ-016</t>
  </si>
  <si>
    <t>Cloud Email Migration</t>
  </si>
  <si>
    <t>PRJ-017</t>
  </si>
  <si>
    <t>Contract Management Platform</t>
  </si>
  <si>
    <t>PRJ-018</t>
  </si>
  <si>
    <t>Service Desk Replacement</t>
  </si>
  <si>
    <t>PRJ-019</t>
  </si>
  <si>
    <t>GIS Mapping Upgrade</t>
  </si>
  <si>
    <t>PRJ-020</t>
  </si>
  <si>
    <t>Procurement Portal</t>
  </si>
  <si>
    <t>Sarah Jones</t>
  </si>
  <si>
    <t>PRJ-021</t>
  </si>
  <si>
    <t>Document Management Upgrade</t>
  </si>
  <si>
    <t>PRJ-022</t>
  </si>
  <si>
    <t>Data Governance Framework</t>
  </si>
  <si>
    <t>PRJ-023</t>
  </si>
  <si>
    <t>Electric Vehicle Charging</t>
  </si>
  <si>
    <t>PRJ-024</t>
  </si>
  <si>
    <t>Council Meeting Livestream</t>
  </si>
  <si>
    <t>Finance Code</t>
  </si>
  <si>
    <t>Project Title</t>
  </si>
  <si>
    <t>Approved Budget ($)</t>
  </si>
  <si>
    <t>Forecast ($)</t>
  </si>
  <si>
    <t>Actual to Date ($)</t>
  </si>
  <si>
    <t>Match Key (you fill) =LOWER(TRIM(B2))</t>
  </si>
  <si>
    <t>FIN-103</t>
  </si>
  <si>
    <t>RECORDS DIGITISATION</t>
  </si>
  <si>
    <t>FIN-115</t>
  </si>
  <si>
    <t>contract management platform</t>
  </si>
  <si>
    <t>FIN-114</t>
  </si>
  <si>
    <t>cloud email migration</t>
  </si>
  <si>
    <t>FIN-113</t>
  </si>
  <si>
    <t>Website Accessibility Fixes</t>
  </si>
  <si>
    <t>FIN-107</t>
  </si>
  <si>
    <t>MOBILE INSPECTIONS APP</t>
  </si>
  <si>
    <t>FIN-102</t>
  </si>
  <si>
    <t xml:space="preserve"> Payroll System Replacement</t>
  </si>
  <si>
    <t>FIN-118</t>
  </si>
  <si>
    <t>DOCUMENT MANAGEMENT UPGRADE</t>
  </si>
  <si>
    <t>FIN-122</t>
  </si>
  <si>
    <t>Parking Sensor Trial</t>
  </si>
  <si>
    <t>FIN-111</t>
  </si>
  <si>
    <t>IAM Program</t>
  </si>
  <si>
    <t>FIN-108</t>
  </si>
  <si>
    <t xml:space="preserve">Grants Management System  </t>
  </si>
  <si>
    <t>FIN-106</t>
  </si>
  <si>
    <t>FIN-110</t>
  </si>
  <si>
    <t xml:space="preserve"> Call Centre Modernisation</t>
  </si>
  <si>
    <t>FIN-120</t>
  </si>
  <si>
    <t>Council Livestreaming</t>
  </si>
  <si>
    <t>FIN-104</t>
  </si>
  <si>
    <t>FIN-105</t>
  </si>
  <si>
    <t>FIN-121</t>
  </si>
  <si>
    <t>Library Self-Checkout Kiosks</t>
  </si>
  <si>
    <t>FIN-109</t>
  </si>
  <si>
    <t xml:space="preserve"> Asset Register Cleanup</t>
  </si>
  <si>
    <t>FIN-119</t>
  </si>
  <si>
    <t>DATA GOVERNANCE FRAMEWORK</t>
  </si>
  <si>
    <t>FIN-101</t>
  </si>
  <si>
    <t xml:space="preserve"> Customer Portal Upgrade</t>
  </si>
  <si>
    <t>FIN-112</t>
  </si>
  <si>
    <t xml:space="preserve"> Budget Reporting Automation</t>
  </si>
  <si>
    <t>FIN-116</t>
  </si>
  <si>
    <t>service desk replacement</t>
  </si>
  <si>
    <t>FIN-117</t>
  </si>
  <si>
    <t>procurement portal</t>
  </si>
  <si>
    <t>Risk ID</t>
  </si>
  <si>
    <t>Description</t>
  </si>
  <si>
    <t>Likelihood (1-5)</t>
  </si>
  <si>
    <t>Impact (1-5)</t>
  </si>
  <si>
    <t>Next Review</t>
  </si>
  <si>
    <t>R-001</t>
  </si>
  <si>
    <t>Scope creep</t>
  </si>
  <si>
    <t>Monitoring</t>
  </si>
  <si>
    <t>R-002</t>
  </si>
  <si>
    <t>Data migration errors</t>
  </si>
  <si>
    <t>Open</t>
  </si>
  <si>
    <t>R-003</t>
  </si>
  <si>
    <t>Budget overrun</t>
  </si>
  <si>
    <t>R-004</t>
  </si>
  <si>
    <t>Security vulnerability found</t>
  </si>
  <si>
    <t>R-005</t>
  </si>
  <si>
    <t>Stakeholder resistance</t>
  </si>
  <si>
    <t>R-006</t>
  </si>
  <si>
    <t>PRJ-031</t>
  </si>
  <si>
    <t>Licensing cost increase</t>
  </si>
  <si>
    <t>R-007</t>
  </si>
  <si>
    <t>R-008</t>
  </si>
  <si>
    <t>R-009</t>
  </si>
  <si>
    <t>Vendor delivery delay</t>
  </si>
  <si>
    <t>R-010</t>
  </si>
  <si>
    <t>R-011</t>
  </si>
  <si>
    <t>Closed</t>
  </si>
  <si>
    <t>R-012</t>
  </si>
  <si>
    <t>Key staff unavailable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</si>
  <si>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</si>
  <si>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</si>
  <si>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</si>
  <si>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</si>
  <si>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</si>
  <si>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</si>
  <si>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</si>
  <si>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</si>
  <si>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</si>
  <si>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</si>
  <si>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</si>
  <si>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PRJ-045</t>
  </si>
  <si>
    <t>R-024</t>
  </si>
  <si>
    <t>R-025</t>
  </si>
  <si>
    <t>R-026</t>
  </si>
  <si>
    <t>R-027</t>
  </si>
  <si>
    <t>Integration failure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</si>
  <si>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</si>
  <si>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</si>
  <si>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</si>
  <si>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</si>
  <si>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</si>
  <si>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</si>
  <si>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</si>
  <si>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</si>
  <si>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</si>
  <si>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</si>
  <si>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</si>
  <si>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</si>
  <si>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</si>
  <si>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Initiative Name (raw)</t>
  </si>
  <si>
    <t>Owner (raw)</t>
  </si>
  <si>
    <t>Status (raw)</t>
  </si>
  <si>
    <t>Clean Name  =TRIM(PROPER())</t>
  </si>
  <si>
    <t>Clean Status</t>
  </si>
  <si>
    <t>Owner Missing?</t>
  </si>
  <si>
    <t>Duplicate ID?</t>
  </si>
  <si>
    <t>Dates OK?</t>
  </si>
  <si>
    <t>Budget A ($)</t>
  </si>
  <si>
    <t>Match Key (clean name)</t>
  </si>
  <si>
    <t>Budget B ($)</t>
  </si>
  <si>
    <t>Difference ($)</t>
  </si>
  <si>
    <t>Result</t>
  </si>
  <si>
    <t>Likelihood</t>
  </si>
  <si>
    <t>Impact</t>
  </si>
  <si>
    <t>Risk Score (L×I)</t>
  </si>
  <si>
    <t>Rating</t>
  </si>
  <si>
    <t>Overdue?</t>
  </si>
  <si>
    <t>Project Exists?</t>
  </si>
  <si>
    <t>Question</t>
  </si>
  <si>
    <t>Answer</t>
  </si>
  <si>
    <t>Formula hint</t>
  </si>
  <si>
    <t>How many projects are in Register_A (incl. duplicate)?</t>
  </si>
  <si>
    <t>COUNTA counts non-empty cells</t>
  </si>
  <si>
    <t>How many projects are Red?</t>
  </si>
  <si>
    <t>COUNTIF(range,"Red")</t>
  </si>
  <si>
    <t>Total budget of the Digital division ($)</t>
  </si>
  <si>
    <t>SUMIFS(sum_range, criteria_range, criteria)</t>
  </si>
  <si>
    <t>How many Digital projects are Amber?</t>
  </si>
  <si>
    <t>COUNTIFS with 2 conditions (watch the messy 'amber ' → use "Amber*")</t>
  </si>
  <si>
    <t>Average budget per project ($)</t>
  </si>
  <si>
    <t>AVERAGE</t>
  </si>
  <si>
    <t>How many risks are still Open?</t>
  </si>
  <si>
    <t>COUNTIF</t>
  </si>
  <si>
    <t>How many open risks are High (score ≥ 15)?</t>
  </si>
  <si>
    <t>Needs Ex3_Risks finished first</t>
  </si>
  <si>
    <t>How many projects are missing from the finance register?</t>
  </si>
  <si>
    <t>Needs Ex2_Crosswalk finished first</t>
  </si>
  <si>
    <t>Total Actual to Date spent across Register_B ($)</t>
  </si>
  <si>
    <t>SUM</t>
  </si>
  <si>
    <t>ANSWERS: formulas for the first rows of each exercise. Copy them down in your sheet the same way.</t>
  </si>
  <si>
    <t>Column</t>
  </si>
  <si>
    <t>Formula (row 3 shown)</t>
  </si>
  <si>
    <t>What it does</t>
  </si>
  <si>
    <t>'=TRIM(PROPER(B3))</t>
  </si>
  <si>
    <t>PROPER fixes capitals, TRIM removes extra spaces</t>
  </si>
  <si>
    <t>'=TRIM(PROPER(D3))</t>
  </si>
  <si>
    <t>Same cleaning so 'amber ' becomes 'Amber'</t>
  </si>
  <si>
    <t>'=IF(C3="","MISSING","OK")</t>
  </si>
  <si>
    <t>IF the cell is empty → MISSING</t>
  </si>
  <si>
    <t>'=IF(COUNTIF($A$2:$A$26,A3)&gt;1,"DUPLICATE","OK")</t>
  </si>
  <si>
    <t>COUNTIF counts how many times this ID appears; &gt;1 = duplicate</t>
  </si>
  <si>
    <t>'=IF(Register_A!F3&lt;Register_A!E3,"END BEFORE START","OK")</t>
  </si>
  <si>
    <t>End date earlier than start date is impossible</t>
  </si>
  <si>
    <t>'=LOWER(TRIM(B3))</t>
  </si>
  <si>
    <t>Lower-case + trimmed so 'CUSTOMER portal ' matches 'Customer Portal'</t>
  </si>
  <si>
    <t>'=IFERROR(INDEX(Register_B!$A$2:$A$23,MATCH(D3,Register_B!$F$2:$F$23,0)),"NOT FOUND")</t>
  </si>
  <si>
    <t>MATCH finds the row of the same clean name in Register_B (column F helper), INDEX returns the code from that row. XLOOKUP version: =XLOOKUP(D3, Register_B!$F$2:$F$23, Register_B!$A$2:$A$23, "NOT FOUND")</t>
  </si>
  <si>
    <t>'=IF(E3="NOT FOUND","",INDEX(Register_B!$C$2:$C$23,MATCH(E3,Register_B!$A$2:$A$23,0)))</t>
  </si>
  <si>
    <t>Looks up the approved budget using the finance code</t>
  </si>
  <si>
    <t>'=IF(F3="","",F3-C3)</t>
  </si>
  <si>
    <t>Finance budget minus PMO budget; not 0 = conflict to log</t>
  </si>
  <si>
    <t>'=IF(E3="NOT FOUND","Missing in finance",IF(G3&lt;&gt;0,"Budget mismatch","Match"))</t>
  </si>
  <si>
    <t>Nested IF gives a plain-English status</t>
  </si>
  <si>
    <t>'=D3*E3</t>
  </si>
  <si>
    <t>Standard risk matrix: likelihood × impact</t>
  </si>
  <si>
    <t>'=IF(H3&gt;=15,"High",IF(H3&gt;=8,"Medium","Low"))</t>
  </si>
  <si>
    <t>Nested IF bands: ≥15 High, ≥8 Medium, else Low</t>
  </si>
  <si>
    <t>'=IF(AND(G3&lt;&gt;"Closed",F3&lt;TODAY()),"OVERDUE","OK")</t>
  </si>
  <si>
    <t>AND: still open AND review date already passed</t>
  </si>
  <si>
    <t>'=IF(COUNTIF(Register_A!$A$2:$A$26,B3)=0,"ORPHAN","OK")</t>
  </si>
  <si>
    <t>COUNTIF=0 means this risk points to a project that isn't in the register</t>
  </si>
  <si>
    <t>Expected findings to check yourself against:</t>
  </si>
  <si>
    <t>• Register_A: PRJ-009 appears twice (duplicate row).</t>
  </si>
  <si>
    <t>• Register_A: PRJ-007 has no owner.</t>
  </si>
  <si>
    <t>• Register_A: PRJ-012 ends before it starts (date error).</t>
  </si>
  <si>
    <t>• Register_A: PRJ-015 name has extra spaces and lower case; PRJ-004 status is 'amber ' (messy).</t>
  </si>
  <si>
    <t>• Watch out: PROPER turns 'GIS' into 'Gis' (PRJ-019). Cleaning functions can create new errors, so always eyeball results.</t>
  </si>
  <si>
    <t>• Crosswalk: 16 projects match exactly; 3 have budget conflicts (PRJ-002, PRJ-016, PRJ-020).</t>
  </si>
  <si>
    <t>• Crosswalk: 6 show NOT FOUND. Four are truly missing from finance (PRJ-008, 011, 019, 023).</t>
  </si>
  <si>
    <t>• …but two are the SAME project under a different name: PRJ-013 = FIN-111 'IAM Program', PRJ-024 = FIN-120 'Council Livestreaming'. Formulas can't catch this; you record it manually in the crosswalk and issue log.</t>
  </si>
  <si>
    <t>• Register_B has 2 projects not in the PMO register at all: FIN-121 Library Self-Checkout Kiosks, FIN-122 Parking Sensor Trial. Log them for management; don't delete them.</t>
  </si>
  <si>
    <t>• Risk_Log: R-006 (PRJ-031) and R-023 (PRJ-045) point to projects that don't exist (orphans).</t>
  </si>
  <si>
    <t>• Risk_Log: 9 risks have no owner. Risk ratings: 9 High, 10 Medium, 21 Low.</t>
  </si>
  <si>
    <t>• Overdue count depends on today's date, so yours will differ over time. That's what TODAY() does.</t>
  </si>
  <si>
    <t>GIS mapping upgrade</t>
  </si>
  <si>
    <t>Row Labels</t>
  </si>
  <si>
    <t>Grand Total</t>
  </si>
  <si>
    <t>Sum of Budget ($)</t>
  </si>
  <si>
    <t>Column Labels</t>
  </si>
  <si>
    <t>(blank)</t>
  </si>
  <si>
    <t>Count of Risk ID</t>
  </si>
  <si>
    <t>Issue ID</t>
  </si>
  <si>
    <t>Sheet</t>
  </si>
  <si>
    <t>Record</t>
  </si>
  <si>
    <t>Problem</t>
  </si>
  <si>
    <t>Suggested Action</t>
  </si>
  <si>
    <t>ISS-001</t>
  </si>
  <si>
    <t>Duplicate row</t>
  </si>
  <si>
    <t>Corporate budget overstated by $270,000; totals show 25 projects instead of 24</t>
  </si>
  <si>
    <t>ISS-002</t>
  </si>
  <si>
    <t>Nobody is accountable for this $160,000 project, so delays, risks and budget issues may go unmanaged</t>
  </si>
  <si>
    <t>PMO to confirm the owner with the Digital division manager and update the register</t>
  </si>
  <si>
    <t>ISS-003</t>
  </si>
  <si>
    <t>ISS-004</t>
  </si>
  <si>
    <t>ISS-005</t>
  </si>
  <si>
    <t>Project duration can't be calculated, so schedule and overdue reports for this project are wrong</t>
  </si>
  <si>
    <t>PMO to confirm correct dates with the project owner and update the register</t>
  </si>
  <si>
    <t>Pivots and charts split Amber into two groups, so the Amber count is understated by 1</t>
  </si>
  <si>
    <t>Lookups against other registers can fail, so the project may wrongly show as missing</t>
  </si>
  <si>
    <t>PMO to correct the name; apply TRIM/PROPER cleaning before matching</t>
  </si>
  <si>
    <t>ISS-006</t>
  </si>
  <si>
    <t>PMO to confirm and remove the duplicate</t>
  </si>
  <si>
    <t>No owner assigned</t>
  </si>
  <si>
    <t>End date is before start date</t>
  </si>
  <si>
    <t>Status entered as "amber " (lowercase, trailing space)</t>
  </si>
  <si>
    <t>PMO to correct the value; add a Status dropdown to prevent recurrence</t>
  </si>
  <si>
    <t>Name has extra spaces and lowercase</t>
  </si>
  <si>
    <t>Register_A / Register_B</t>
  </si>
  <si>
    <t>PRJ-002, PRJ-016, PRJ-020</t>
  </si>
  <si>
    <t>Budget differs between PMO and Finance</t>
  </si>
  <si>
    <t>Finance approved $75,000 less in total (PRJ-002 -$15,000; PRJ-016 -$30,000; PRJ-020 -$30,000); unclear which figure is correct</t>
  </si>
  <si>
    <t>Finance and PMO to agree the approved budget and document the source for each</t>
  </si>
  <si>
    <t>ISS-007</t>
  </si>
  <si>
    <t>PRJ-013 / FIN-111; PRJ-024 / FIN-120</t>
  </si>
  <si>
    <t>Same project recorded under different names ("IAM Program", "Council Livestreaming")</t>
  </si>
  <si>
    <t>Automated matching reports them as missing, overstating gaps between the registers</t>
  </si>
  <si>
    <t>Linked manually in crosswalk; Finance to adopt PMO project names or record the PMO Project ID</t>
  </si>
  <si>
    <t>ISS-008</t>
  </si>
  <si>
    <t>PRJ-008, PRJ-011, PRJ-019, PRJ-023</t>
  </si>
  <si>
    <t>Active projects have no Finance record</t>
  </si>
  <si>
    <t>Spend on 4 projects may be untracked or unapproved</t>
  </si>
  <si>
    <t>Finance to confirm whether budgets were approved and add records</t>
  </si>
  <si>
    <t>ISS-009</t>
  </si>
  <si>
    <t>FIN-121, FIN-122</t>
  </si>
  <si>
    <t>Finance projects not in PMO register (Library Self-Checkout Kiosks, Parking Sensor Trial)</t>
  </si>
  <si>
    <t>$155,000 of approved budget has no PMO oversight</t>
  </si>
  <si>
    <t>PMO to confirm whether these are projects and add them to the register</t>
  </si>
  <si>
    <t>ISS-010</t>
  </si>
  <si>
    <t>R-006, R-023</t>
  </si>
  <si>
    <t>Risks linked to non-existent projects (PRJ-031, PRJ-045)</t>
  </si>
  <si>
    <t>These risks can't be reported against any project and may be overlooked</t>
  </si>
  <si>
    <t>Risk owners to confirm the correct Project ID</t>
  </si>
  <si>
    <t>ISS-011</t>
  </si>
  <si>
    <t>R-006, R-010, R-012, R-014, R-015, R-016, R-021, R-026, R-032</t>
  </si>
  <si>
    <t>9 risks have no owner</t>
  </si>
  <si>
    <t>Nobody is responsible for monitoring or mitigating these risks</t>
  </si>
  <si>
    <t>PMO to assign owners at the next risk review</t>
  </si>
  <si>
    <t>ISS-012</t>
  </si>
  <si>
    <t>Process</t>
  </si>
  <si>
    <t>All registers</t>
  </si>
  <si>
    <t>No shared Project ID between PMO and Finance</t>
  </si>
  <si>
    <t>Every reconciliation depends on name matching, which is slow and error-prone</t>
  </si>
  <si>
    <t>Add PMO Project ID as a mandatory field in the Finance register</t>
  </si>
  <si>
    <t>1. Reviewed 25 PMO register rows (24 unique projects), 22 Finance records and 40 risks.</t>
  </si>
  <si>
    <t>2. 16 projects match exactly between PMO and Finance; 2 more were matched manually because they are recorded under different names.</t>
  </si>
  <si>
    <t>3. 3 projects have budget conflicts totalling $75,000, and 4 active projects have no Finance record.</t>
  </si>
  <si>
    <t>4. Data quality issues include a duplicate row, a missing owner, an invalid date, inconsistent status values, 9 unowned risks and 2 risks linked to non-existent projects.</t>
  </si>
  <si>
    <t>5. Decisions needed: agree the correct budgets for 3 projects, confirm funding for 4 unrecorded projects, and require a shared Project ID in both registers.</t>
  </si>
  <si>
    <t>Summary Sheet</t>
  </si>
  <si>
    <t>PMO Ref</t>
  </si>
  <si>
    <t>Approved Budget</t>
  </si>
  <si>
    <t>Forecast</t>
  </si>
  <si>
    <t>Actual to Date</t>
  </si>
  <si>
    <t>Last Updated</t>
  </si>
  <si>
    <t/>
  </si>
  <si>
    <t>Iam Program</t>
  </si>
  <si>
    <t>04/09/2026</t>
  </si>
  <si>
    <t>Owner Name</t>
  </si>
  <si>
    <t>Budget</t>
  </si>
  <si>
    <t>Budget Band</t>
  </si>
  <si>
    <t>19/06/2025</t>
  </si>
  <si>
    <t>15/11/2025</t>
  </si>
  <si>
    <t>Medium</t>
  </si>
  <si>
    <t>14/07/2025</t>
  </si>
  <si>
    <t>16/12/2025</t>
  </si>
  <si>
    <t>Small</t>
  </si>
  <si>
    <t>04/10/2025</t>
  </si>
  <si>
    <t>26/05/2026</t>
  </si>
  <si>
    <t>02/04/2025</t>
  </si>
  <si>
    <t>12/05/2026</t>
  </si>
  <si>
    <t>18/03/2025</t>
  </si>
  <si>
    <t>14/09/2025</t>
  </si>
  <si>
    <t xml:space="preserve"> </t>
  </si>
  <si>
    <t>19/10/2025</t>
  </si>
  <si>
    <t>09/01/2027</t>
  </si>
  <si>
    <t>02/10/2025</t>
  </si>
  <si>
    <t>12/12/2026</t>
  </si>
  <si>
    <t>19/08/2025</t>
  </si>
  <si>
    <t>06/08/2026</t>
  </si>
  <si>
    <t>25/12/2025</t>
  </si>
  <si>
    <t>26/08/2026</t>
  </si>
  <si>
    <t>15/12/2025</t>
  </si>
  <si>
    <t>08/09/2026</t>
  </si>
  <si>
    <t>25/03/2025</t>
  </si>
  <si>
    <t>23/02/2025</t>
  </si>
  <si>
    <t>03/11/2025</t>
  </si>
  <si>
    <t>29/03/2027</t>
  </si>
  <si>
    <t>16/10/2025</t>
  </si>
  <si>
    <t>06/12/2026</t>
  </si>
  <si>
    <t>16/05/2025</t>
  </si>
  <si>
    <t>19/11/2025</t>
  </si>
  <si>
    <t>02/03/2027</t>
  </si>
  <si>
    <t>12/11/2025</t>
  </si>
  <si>
    <t>23/03/2026</t>
  </si>
  <si>
    <t>02/08/2025</t>
  </si>
  <si>
    <t>21/03/2026</t>
  </si>
  <si>
    <t>13/07/2025</t>
  </si>
  <si>
    <t>22/07/2026</t>
  </si>
  <si>
    <t>09/09/2025</t>
  </si>
  <si>
    <t>18/03/2026</t>
  </si>
  <si>
    <t>22/06/2025</t>
  </si>
  <si>
    <t>02/05/2026</t>
  </si>
  <si>
    <t>08/03/2025</t>
  </si>
  <si>
    <t>08/06/2026</t>
  </si>
  <si>
    <t>10/05/2025</t>
  </si>
  <si>
    <t>23/03/2025</t>
  </si>
  <si>
    <t>10/04/2026</t>
  </si>
  <si>
    <t>05/06/2025</t>
  </si>
  <si>
    <t>23/04/2026</t>
  </si>
  <si>
    <t>Large</t>
  </si>
  <si>
    <t>Month</t>
  </si>
  <si>
    <t>Category</t>
  </si>
  <si>
    <t>Amount</t>
  </si>
  <si>
    <t>Licences</t>
  </si>
  <si>
    <t>Vendor</t>
  </si>
  <si>
    <t>Labour</t>
  </si>
  <si>
    <t>Q1 Spend</t>
  </si>
  <si>
    <t>Budget Difference</t>
  </si>
  <si>
    <t>Quarter</t>
  </si>
  <si>
    <t>Q1 FY27</t>
  </si>
  <si>
    <t>Q2 FY27</t>
  </si>
  <si>
    <t>Q3 FY27</t>
  </si>
  <si>
    <t>Q4 FY27</t>
  </si>
  <si>
    <t>15/9/2026</t>
  </si>
  <si>
    <t>28/9/2026</t>
  </si>
  <si>
    <t>18/9/2026</t>
  </si>
  <si>
    <t>25/9/2026</t>
  </si>
  <si>
    <t>17/9/2026</t>
  </si>
  <si>
    <t>19/9/2026</t>
  </si>
  <si>
    <t>7/9/2026</t>
  </si>
  <si>
    <t>6/9/2026</t>
  </si>
  <si>
    <t>26/9/2026</t>
  </si>
  <si>
    <t>16/9/2026</t>
  </si>
  <si>
    <t>21/9/2026</t>
  </si>
  <si>
    <t>20/9/2026</t>
  </si>
  <si>
    <t>4/9/2026</t>
  </si>
  <si>
    <t>10/9/2026</t>
  </si>
  <si>
    <t>Burn %</t>
  </si>
  <si>
    <t>Projects missing from Finance</t>
  </si>
  <si>
    <t>Finance projects missing from PMO</t>
  </si>
  <si>
    <t>Total Q1 spend</t>
  </si>
  <si>
    <t>Sum of Budget</t>
  </si>
  <si>
    <t>Budget by Division and Size</t>
  </si>
  <si>
    <t xml:space="preserve">Key Findings             </t>
  </si>
  <si>
    <t>#</t>
  </si>
  <si>
    <t>Finding</t>
  </si>
  <si>
    <t>Severity</t>
  </si>
  <si>
    <t>Action</t>
  </si>
  <si>
    <t>20 of 24 PMO projects match Finance on Project ID</t>
  </si>
  <si>
    <t>Low</t>
  </si>
  <si>
    <t>None, reconciliation working</t>
  </si>
  <si>
    <t>2 budget conflicts of $30,000 each (PRJ-016, PRJ-020)</t>
  </si>
  <si>
    <t>Finance &amp; PMO to agree approved budgets</t>
  </si>
  <si>
    <t>4 projects have no Finance record; PRJ-011 and PRJ-019 already Complete</t>
  </si>
  <si>
    <t>High</t>
  </si>
  <si>
    <t>Finance to confirm spend was approved</t>
  </si>
  <si>
    <t>2 Finance projects ($155,000) have no PMO oversight</t>
  </si>
  <si>
    <t>PMO to review and register FIN-121, FIN-122</t>
  </si>
  <si>
    <t>PRJ-010 has spent 26% of budget in one quarter</t>
  </si>
  <si>
    <t>Monitor monthly for overspend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</si>
</sst>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&quot;$&quot;#,##0"/>
  </numFmts>
  <fonts count="19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9A5B00"/>
      <name val="Arial"/>
      <family val="2"/>
    </font>
    <font>
      <b/>
      <sz val="12"/>
      <color rgb="FF1F3A5F"/>
      <name val="Arial"/>
      <family val="2"/>
    </font>
    <font>
      <sz val="9"/>
      <name val="Courier New"/>
      <family val="1"/>
    </font>
    <font>
      <sz val="10"/>
      <name val="Arial"/>
      <family val="2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3"/>
      <color rgb="FF6B5300"/>
      <name val="Menlo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b/>
      <sz val="20"/>
      <color theme="1"/>
      <name val="Arial Unicode MS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EBF0"/>
        <bgColor rgb="FFDDEFE9"/>
      </patternFill>
    </fill>
    <fill>
      <patternFill patternType="solid">
        <fgColor rgb="FFFFF2B3"/>
        <bgColor rgb="FFFFFF99"/>
      </patternFill>
    </fill>
    <fill>
      <patternFill patternType="solid">
        <fgColor rgb="FFDDEFE9"/>
        <bgColor rgb="FFE6EBF0"/>
      </patternFill>
    </fill>
    <fill>
      <patternFill patternType="solid">
        <fgColor rgb="FF1F3A5F"/>
        <bgColor rgb="FF333333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 style="thin">
        <color rgb="FFC9D1D9"/>
      </top>
      <bottom style="thin">
        <color rgb="FFC9D1D9"/>
      </bottom>
      <diagonal/>
    </border>
    <border>
      <left style="thin">
        <color rgb="FFC9D1D9"/>
      </left>
      <right/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/>
      <bottom style="thin">
        <color rgb="FFC9D1D9"/>
      </bottom>
      <diagonal/>
    </border>
    <border>
      <left style="thin">
        <color rgb="FFC9D1D9"/>
      </left>
      <right style="thin">
        <color rgb="FFC9D1D9"/>
      </right>
      <top/>
      <bottom style="thin">
        <color rgb="FFC9D1D9"/>
      </bottom>
      <diagonal/>
    </border>
    <border>
      <left style="thin">
        <color rgb="FFC9D1D9"/>
      </left>
      <right/>
      <top/>
      <bottom style="thin">
        <color rgb="FFC9D1D9"/>
      </bottom>
      <diagonal/>
    </border>
    <border>
      <left/>
      <right style="thin">
        <color rgb="FFC9D1D9"/>
      </right>
      <top style="thin">
        <color rgb="FFC9D1D9"/>
      </top>
      <bottom/>
      <diagonal/>
    </border>
    <border>
      <left style="thin">
        <color rgb="FFC9D1D9"/>
      </left>
      <right style="thin">
        <color rgb="FFC9D1D9"/>
      </right>
      <top style="thin">
        <color rgb="FFC9D1D9"/>
      </top>
      <bottom/>
      <diagonal/>
    </border>
    <border>
      <left style="thin">
        <color rgb="FFC9D1D9"/>
      </left>
      <right/>
      <top style="thin">
        <color rgb="FFC9D1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5" fillId="5" borderId="1" xfId="0" applyFont="1" applyFill="1" applyBorder="1" applyAlignment="1">
      <alignment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5" fillId="5" borderId="0" xfId="0" applyFont="1" applyFill="1"/>
    <xf numFmtId="0" fontId="8" fillId="0" borderId="0" xfId="0" applyFont="1"/>
    <xf numFmtId="0" fontId="3" fillId="0" borderId="2" xfId="0" applyFont="1" applyBorder="1"/>
    <xf numFmtId="0" fontId="3" fillId="0" borderId="3" xfId="0" applyFont="1" applyBorder="1"/>
    <xf numFmtId="0" fontId="5" fillId="5" borderId="5" xfId="0" applyFont="1" applyFill="1" applyBorder="1" applyAlignment="1">
      <alignment vertical="center" wrapText="1"/>
    </xf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165" fontId="3" fillId="0" borderId="8" xfId="0" applyNumberFormat="1" applyFont="1" applyBorder="1"/>
    <xf numFmtId="0" fontId="3" fillId="0" borderId="9" xfId="0" applyFont="1" applyBorder="1"/>
    <xf numFmtId="0" fontId="10" fillId="5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3" xfId="0" applyFont="1" applyBorder="1"/>
    <xf numFmtId="0" fontId="11" fillId="0" borderId="1" xfId="0" applyFont="1" applyBorder="1"/>
    <xf numFmtId="0" fontId="12" fillId="0" borderId="0" xfId="0" applyFont="1"/>
    <xf numFmtId="0" fontId="9" fillId="4" borderId="1" xfId="0" applyFont="1" applyFill="1" applyBorder="1"/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applyAlignment="1">
      <alignment wrapText="1" shrinkToFit="1"/>
    </xf>
    <xf numFmtId="0" fontId="0" fillId="0" borderId="0" xfId="0" applyAlignment="1">
      <alignment vertical="top"/>
    </xf>
    <xf numFmtId="0" fontId="0" fillId="0" borderId="0" xfId="0" applyAlignment="1">
      <alignment vertical="top" wrapText="1" shrinkToFit="1"/>
    </xf>
    <xf numFmtId="0" fontId="11" fillId="0" borderId="2" xfId="0" applyFont="1" applyBorder="1"/>
    <xf numFmtId="0" fontId="14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NumberFormat="1"/>
    <xf numFmtId="0" fontId="15" fillId="6" borderId="10" xfId="0" applyFont="1" applyFill="1" applyBorder="1"/>
    <xf numFmtId="0" fontId="16" fillId="6" borderId="10" xfId="0" applyFont="1" applyFill="1" applyBorder="1"/>
    <xf numFmtId="0" fontId="16" fillId="6" borderId="11" xfId="0" applyFont="1" applyFill="1" applyBorder="1"/>
    <xf numFmtId="166" fontId="15" fillId="6" borderId="11" xfId="0" applyNumberFormat="1" applyFont="1" applyFill="1" applyBorder="1"/>
    <xf numFmtId="0" fontId="0" fillId="0" borderId="0" xfId="0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top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top" textRotation="0" indent="0" justifyLastLine="0" readingOrder="0"/>
    </dxf>
    <dxf>
      <alignment horizontal="general" vertical="top" textRotation="0" wrapText="1" indent="0" justifyLastLine="0" shrinkToFit="1" readingOrder="0"/>
    </dxf>
    <dxf>
      <alignment horizontal="general" vertical="top" textRotation="0" wrapText="1" indent="0" justifyLastLine="0" shrinkToFit="1" readingOrder="0"/>
    </dxf>
    <dxf>
      <alignment horizontal="general" vertical="top" textRotation="0" wrapText="1" indent="0" justifyLastLine="0" shrinkToFit="1" readingOrder="0"/>
    </dxf>
    <dxf>
      <alignment horizontal="general" vertical="top" textRotation="0" indent="0" justifyLastLine="0" readingOrder="0"/>
    </dxf>
    <dxf>
      <alignment horizontal="general" vertical="top" textRotation="0" indent="0" justifyLastLine="0" readingOrder="0"/>
    </dxf>
    <dxf>
      <alignment horizontal="general" vertical="top" textRotation="0" indent="0" justifyLastLine="0" readingOrder="0"/>
    </dxf>
    <dxf>
      <alignment horizontal="general" vertical="top" textRotation="0" indent="0" justifyLastLine="0" readingOrder="0"/>
    </dxf>
    <dxf>
      <alignment horizontal="general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C9D1D9"/>
        </left>
        <right/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\$#,##0"/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/mm/yyyy"/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/mm/yyyy"/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C9D1D9"/>
        </right>
        <top style="thin">
          <color rgb="FFC9D1D9"/>
        </top>
        <bottom style="thin">
          <color rgb="FFC9D1D9"/>
        </bottom>
        <vertical/>
        <horizontal/>
      </border>
    </dxf>
    <dxf>
      <border outline="0">
        <top style="thin">
          <color rgb="FFC9D1D9"/>
        </top>
      </border>
    </dxf>
    <dxf>
      <border outline="0">
        <left style="thin">
          <color rgb="FFC9D1D9"/>
        </left>
        <right style="thin">
          <color rgb="FFC9D1D9"/>
        </right>
        <top style="thin">
          <color rgb="FFC9D1D9"/>
        </top>
        <bottom style="thin">
          <color rgb="FFC9D1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C9D1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A5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9D1D9"/>
        </left>
        <right style="thin">
          <color rgb="FFC9D1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DDEFE9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A5B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[excel-register-reconciliation.xlsx]Pivot_Status!PivotTable2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</a:t>
            </a:r>
            <a:r>
              <a:rPr lang="en-GB" baseline="0"/>
              <a:t> of budget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Pivot_Status!$B$3:$B$4</c:f>
              <c:strCache>
                <c:ptCount val="1"/>
                <c:pt idx="0">
                  <c:v>Amber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Pivot_Status!$A$5:$A$9</c:f>
              <c:strCache>
                <c:ptCount val="4"/>
                <c:pt idx="0">
                  <c:v>Community</c:v>
                </c:pt>
                <c:pt idx="1">
                  <c:v>Corporate</c:v>
                </c:pt>
                <c:pt idx="2">
                  <c:v>Digital</c:v>
                </c:pt>
                <c:pt idx="3">
                  <c:v>Operations</c:v>
                </c:pt>
              </c:strCache>
            </c:strRef>
          </c:cat>
          <c:val>
            <c:numRef>
              <c:f>Pivot_Status!$B$5:$B$9</c:f>
              <c:numCache>
                <c:formatCode>"$"#,##0</c:formatCode>
                <c:ptCount val="4"/>
                <c:pt idx="0">
                  <c:v>185000</c:v>
                </c:pt>
                <c:pt idx="1">
                  <c:v>1070000</c:v>
                </c:pt>
                <c:pt idx="2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7-6044-945E-7140C6D77C6C}"/>
            </c:ext>
          </c:extLst>
        </c:ser>
        <c:ser>
          <c:idx val="1"/>
          <c:order val="1"/>
          <c:tx>
            <c:strRef>
              <c:f>Pivot_Status!$C$3:$C$4</c:f>
              <c:strCache>
                <c:ptCount val="1"/>
                <c:pt idx="0">
                  <c:v>amber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Pivot_Status!$A$5:$A$9</c:f>
              <c:strCache>
                <c:ptCount val="4"/>
                <c:pt idx="0">
                  <c:v>Community</c:v>
                </c:pt>
                <c:pt idx="1">
                  <c:v>Corporate</c:v>
                </c:pt>
                <c:pt idx="2">
                  <c:v>Digital</c:v>
                </c:pt>
                <c:pt idx="3">
                  <c:v>Operations</c:v>
                </c:pt>
              </c:strCache>
            </c:strRef>
          </c:cat>
          <c:val>
            <c:numRef>
              <c:f>Pivot_Status!$C$5:$C$9</c:f>
              <c:numCache>
                <c:formatCode>"$"#,##0</c:formatCode>
                <c:ptCount val="4"/>
                <c:pt idx="0">
                  <c:v>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7-6044-945E-7140C6D77C6C}"/>
            </c:ext>
          </c:extLst>
        </c:ser>
        <c:ser>
          <c:idx val="2"/>
          <c:order val="2"/>
          <c:tx>
            <c:strRef>
              <c:f>Pivot_Status!$D$3:$D$4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Pivot_Status!$A$5:$A$9</c:f>
              <c:strCache>
                <c:ptCount val="4"/>
                <c:pt idx="0">
                  <c:v>Community</c:v>
                </c:pt>
                <c:pt idx="1">
                  <c:v>Corporate</c:v>
                </c:pt>
                <c:pt idx="2">
                  <c:v>Digital</c:v>
                </c:pt>
                <c:pt idx="3">
                  <c:v>Operations</c:v>
                </c:pt>
              </c:strCache>
            </c:strRef>
          </c:cat>
          <c:val>
            <c:numRef>
              <c:f>Pivot_Status!$D$5:$D$9</c:f>
              <c:numCache>
                <c:formatCode>"$"#,##0</c:formatCode>
                <c:ptCount val="4"/>
                <c:pt idx="0">
                  <c:v>525000</c:v>
                </c:pt>
                <c:pt idx="2">
                  <c:v>425000</c:v>
                </c:pt>
                <c:pt idx="3">
                  <c:v>1710000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7-6044-945E-7140C6D77C6C}"/>
            </c:ext>
          </c:extLst>
        </c:ser>
        <c:ser>
          <c:idx val="3"/>
          <c:order val="3"/>
          <c:tx>
            <c:strRef>
              <c:f>Pivot_Status!$E$3:$E$4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Pivot_Status!$A$5:$A$9</c:f>
              <c:strCache>
                <c:ptCount val="4"/>
                <c:pt idx="0">
                  <c:v>Community</c:v>
                </c:pt>
                <c:pt idx="1">
                  <c:v>Corporate</c:v>
                </c:pt>
                <c:pt idx="2">
                  <c:v>Digital</c:v>
                </c:pt>
                <c:pt idx="3">
                  <c:v>Operations</c:v>
                </c:pt>
              </c:strCache>
            </c:strRef>
          </c:cat>
          <c:val>
            <c:numRef>
              <c:f>Pivot_Status!$E$5:$E$9</c:f>
              <c:numCache>
                <c:formatCode>"$"#,##0</c:formatCode>
                <c:ptCount val="4"/>
                <c:pt idx="0">
                  <c:v>325000</c:v>
                </c:pt>
                <c:pt idx="1">
                  <c:v>740000</c:v>
                </c:pt>
                <c:pt idx="2">
                  <c:v>1525000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E7-6044-945E-7140C6D77C6C}"/>
            </c:ext>
          </c:extLst>
        </c:ser>
        <c:ser>
          <c:idx val="4"/>
          <c:order val="4"/>
          <c:tx>
            <c:strRef>
              <c:f>Pivot_Status!$F$3:$F$4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Pivot_Status!$A$5:$A$9</c:f>
              <c:strCache>
                <c:ptCount val="4"/>
                <c:pt idx="0">
                  <c:v>Community</c:v>
                </c:pt>
                <c:pt idx="1">
                  <c:v>Corporate</c:v>
                </c:pt>
                <c:pt idx="2">
                  <c:v>Digital</c:v>
                </c:pt>
                <c:pt idx="3">
                  <c:v>Operations</c:v>
                </c:pt>
              </c:strCache>
            </c:strRef>
          </c:cat>
          <c:val>
            <c:numRef>
              <c:f>Pivot_Status!$F$5:$F$9</c:f>
              <c:numCache>
                <c:formatCode>"$"#,##0</c:formatCode>
                <c:ptCount val="4"/>
                <c:pt idx="0">
                  <c:v>260000</c:v>
                </c:pt>
                <c:pt idx="2">
                  <c:v>465000</c:v>
                </c:pt>
                <c:pt idx="3">
                  <c:v>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E7-6044-945E-7140C6D77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6102015"/>
        <c:axId val="1346108735"/>
      </c:barChart>
      <c:catAx>
        <c:axId val="13461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08735"/>
        <c:crosses val="autoZero"/>
        <c:auto val="1"/>
        <c:lblAlgn val="ctr"/>
        <c:lblOffset val="100"/>
        <c:noMultiLvlLbl val="0"/>
      </c:catAx>
      <c:valAx>
        <c:axId val="134610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0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Licences</a:t>
            </a:r>
            <a:r>
              <a:rPr lang="en-GB" baseline="0"/>
              <a:t> is the largest Q1 Spend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Spend_by_Category!$B$1</c:f>
              <c:strCache>
                <c:ptCount val="1"/>
                <c:pt idx="0">
                  <c:v>Q1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Spend_by_Category!$A$2:$A$4</c:f>
              <c:strCache>
                <c:ptCount val="3"/>
                <c:pt idx="0">
                  <c:v>Licences</c:v>
                </c:pt>
                <c:pt idx="1">
                  <c:v>Labour</c:v>
                </c:pt>
                <c:pt idx="2">
                  <c:v>Vendor</c:v>
                </c:pt>
              </c:strCache>
            </c:strRef>
          </c:cat>
          <c:val>
            <c:numRef>
              <c:f>Spend_by_Category!$B$2:$B$4</c:f>
              <c:numCache>
                <c:formatCode>General</c:formatCode>
                <c:ptCount val="3"/>
                <c:pt idx="0">
                  <c:v>184000</c:v>
                </c:pt>
                <c:pt idx="1">
                  <c:v>177500</c:v>
                </c:pt>
                <c:pt idx="2">
                  <c:v>155500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5-8C43-9646-58FE567A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000960"/>
        <c:axId val="1592084224"/>
      </c:barChart>
      <c:catAx>
        <c:axId val="16730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84224"/>
        <c:crosses val="autoZero"/>
        <c:auto val="1"/>
        <c:lblAlgn val="ctr"/>
        <c:lblOffset val="100"/>
        <c:noMultiLvlLbl val="0"/>
      </c:catAx>
      <c:valAx>
        <c:axId val="159208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55418</xdr:colOff>
      <xdr:row>11</xdr:row>
      <xdr:rowOff>62498</xdr:rowOff>
    </xdr:from>
    <xdr:to>
      <xdr:col>8</xdr:col>
      <xdr:colOff>375919</xdr:colOff>
      <xdr:row>32</xdr:row>
      <xdr:rowOff>111759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FDA8B-2C73-041B-6043-753D6D1B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10161</xdr:colOff>
      <xdr:row>23</xdr:row>
      <xdr:rowOff>177210</xdr:rowOff>
    </xdr:from>
    <xdr:to>
      <xdr:col>1</xdr:col>
      <xdr:colOff>4178300</xdr:colOff>
      <xdr:row>44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0A8AA9-C367-F54A-A868-14B8CB94C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mish Bista" refreshedDate="46297.490371064814" createdVersion="8" refreshedVersion="8" minRefreshableVersion="3" recordCount="40" xr:uid="{6B66F04D-F758-9641-9B16-6E2939B2E583}">
  <cacheSource type="worksheet">
    <worksheetSource ref="A1:H41" sheet="Risk_Log"/>
  </cacheSource>
  <cacheFields count="8">
    <cacheField name="Risk ID" numFmtId="0">
      <sharedItems/>
    </cacheField>
    <cacheField name="Project ID" numFmtId="0">
      <sharedItems/>
    </cacheField>
    <cacheField name="Description" numFmtId="0">
      <sharedItems/>
    </cacheField>
    <cacheField name="Owner" numFmtId="0">
      <sharedItems containsBlank="1" count="9">
        <s v="Daniel Park"/>
        <s v="James Wilson"/>
        <s v="Sarah Jones"/>
        <s v="Mei Chen"/>
        <m/>
        <s v="Liam O'Brien"/>
        <s v="Tom Nguyen"/>
        <s v="Priya Sharma"/>
        <s v="Aisha Khan"/>
      </sharedItems>
    </cacheField>
    <cacheField name="Likelihood (1-5)" numFmtId="0">
      <sharedItems containsSemiMixedTypes="0" containsString="0" containsNumber="1" containsInteger="1" minValue="1" maxValue="5"/>
    </cacheField>
    <cacheField name="Impact (1-5)" numFmtId="0">
      <sharedItems containsSemiMixedTypes="0" containsString="0" containsNumber="1" containsInteger="1" minValue="1" maxValue="5"/>
    </cacheField>
    <cacheField name="Next Review" numFmtId="164">
      <sharedItems containsSemiMixedTypes="0" containsNonDate="0" containsDate="1" containsString="0" minDate="2026-06-06T00:00:00" maxDate="2026-12-25T00:00:00"/>
    </cacheField>
    <cacheField name="Status" numFmtId="0">
      <sharedItems count="3">
        <s v="Monitoring"/>
        <s v="Open"/>
        <s v="Cl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mish Bista" refreshedDate="46297.490371064814" createdVersion="8" refreshedVersion="8" minRefreshableVersion="3" recordCount="25" xr:uid="{025FEE9F-1E94-4749-8518-5B15585DB78A}">
  <cacheSource type="worksheet">
    <worksheetSource name="Table1"/>
  </cacheSource>
  <cacheFields count="8">
    <cacheField name="Project ID" numFmtId="0">
      <sharedItems/>
    </cacheField>
    <cacheField name="Initiative Name" numFmtId="0">
      <sharedItems/>
    </cacheField>
    <cacheField name="Owner" numFmtId="0">
      <sharedItems containsBlank="1"/>
    </cacheField>
    <cacheField name="Division" numFmtId="0">
      <sharedItems count="4">
        <s v="Digital"/>
        <s v="Community"/>
        <s v="Operations"/>
        <s v="Corporate"/>
      </sharedItems>
    </cacheField>
    <cacheField name="Start Date" numFmtId="164">
      <sharedItems containsSemiMixedTypes="0" containsNonDate="0" containsDate="1" containsString="0" minDate="2025-03-08T00:00:00" maxDate="2025-12-26T00:00:00"/>
    </cacheField>
    <cacheField name="End Date" numFmtId="164">
      <sharedItems containsSemiMixedTypes="0" containsNonDate="0" containsDate="1" containsString="0" minDate="2025-02-23T00:00:00" maxDate="2027-03-30T00:00:00"/>
    </cacheField>
    <cacheField name="Budget ($)" numFmtId="165">
      <sharedItems containsSemiMixedTypes="0" containsString="0" containsNumber="1" containsInteger="1" minValue="90000" maxValue="585000"/>
    </cacheField>
    <cacheField name="Status" numFmtId="0">
      <sharedItems count="5">
        <s v="Green"/>
        <s v="amber "/>
        <s v="Complete"/>
        <s v="Red"/>
        <s v="A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mish Bista" refreshedDate="46298.482477662037" createdVersion="8" refreshedVersion="8" minRefreshableVersion="3" recordCount="24" xr:uid="{53A90234-7349-6A4E-B1BA-F0336DD5F6B2}">
  <cacheSource type="worksheet">
    <worksheetSource name="Crosswalk"/>
  </cacheSource>
  <cacheFields count="12">
    <cacheField name="Project ID" numFmtId="0">
      <sharedItems/>
    </cacheField>
    <cacheField name="Initiative Name" numFmtId="0">
      <sharedItems/>
    </cacheField>
    <cacheField name="Owner Name" numFmtId="0">
      <sharedItems/>
    </cacheField>
    <cacheField name="Division" numFmtId="0">
      <sharedItems count="4">
        <s v="Digital"/>
        <s v="Community"/>
        <s v="Corporate"/>
        <s v="Operations"/>
      </sharedItems>
    </cacheField>
    <cacheField name="Start Date" numFmtId="0">
      <sharedItems/>
    </cacheField>
    <cacheField name="End Date" numFmtId="0">
      <sharedItems/>
    </cacheField>
    <cacheField name="Budget" numFmtId="0">
      <sharedItems containsSemiMixedTypes="0" containsString="0" containsNumber="1" containsInteger="1" minValue="90000" maxValue="585000"/>
    </cacheField>
    <cacheField name="Status" numFmtId="0">
      <sharedItems/>
    </cacheField>
    <cacheField name="Budget Band" numFmtId="0">
      <sharedItems count="3">
        <s v="Large"/>
        <s v="Small"/>
        <s v="Medium"/>
      </sharedItems>
    </cacheField>
    <cacheField name="Finance Code" numFmtId="0">
      <sharedItems containsBlank="1"/>
    </cacheField>
    <cacheField name="Approved Budget" numFmtId="0">
      <sharedItems containsString="0" containsBlank="1" containsNumber="1" containsInteger="1" minValue="90000" maxValue="585000"/>
    </cacheField>
    <cacheField name="Budget Difference" numFmtId="0">
      <sharedItems containsString="0" containsBlank="1" containsNumber="1" containsInteger="1" minValue="-3000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R-001"/>
    <s v="PRJ-010"/>
    <s v="Scope creep"/>
    <x v="0"/>
    <n v="5"/>
    <n v="5"/>
    <d v="2026-12-01T00:00:00"/>
    <x v="0"/>
  </r>
  <r>
    <s v="R-002"/>
    <s v="PRJ-020"/>
    <s v="Data migration errors"/>
    <x v="1"/>
    <n v="1"/>
    <n v="4"/>
    <d v="2026-12-23T00:00:00"/>
    <x v="1"/>
  </r>
  <r>
    <s v="R-003"/>
    <s v="PRJ-015"/>
    <s v="Budget overrun"/>
    <x v="2"/>
    <n v="3"/>
    <n v="1"/>
    <d v="2026-12-24T00:00:00"/>
    <x v="0"/>
  </r>
  <r>
    <s v="R-004"/>
    <s v="PRJ-014"/>
    <s v="Security vulnerability found"/>
    <x v="1"/>
    <n v="2"/>
    <n v="2"/>
    <d v="2026-07-01T00:00:00"/>
    <x v="1"/>
  </r>
  <r>
    <s v="R-005"/>
    <s v="PRJ-018"/>
    <s v="Stakeholder resistance"/>
    <x v="3"/>
    <n v="5"/>
    <n v="5"/>
    <d v="2026-09-22T00:00:00"/>
    <x v="1"/>
  </r>
  <r>
    <s v="R-006"/>
    <s v="PRJ-031"/>
    <s v="Licensing cost increase"/>
    <x v="4"/>
    <n v="2"/>
    <n v="1"/>
    <d v="2026-06-26T00:00:00"/>
    <x v="1"/>
  </r>
  <r>
    <s v="R-007"/>
    <s v="PRJ-016"/>
    <s v="Budget overrun"/>
    <x v="2"/>
    <n v="2"/>
    <n v="2"/>
    <d v="2026-06-09T00:00:00"/>
    <x v="1"/>
  </r>
  <r>
    <s v="R-008"/>
    <s v="PRJ-009"/>
    <s v="Licensing cost increase"/>
    <x v="5"/>
    <n v="5"/>
    <n v="3"/>
    <d v="2026-08-18T00:00:00"/>
    <x v="0"/>
  </r>
  <r>
    <s v="R-009"/>
    <s v="PRJ-005"/>
    <s v="Vendor delivery delay"/>
    <x v="6"/>
    <n v="4"/>
    <n v="5"/>
    <d v="2026-12-17T00:00:00"/>
    <x v="0"/>
  </r>
  <r>
    <s v="R-010"/>
    <s v="PRJ-016"/>
    <s v="Budget overrun"/>
    <x v="4"/>
    <n v="2"/>
    <n v="5"/>
    <d v="2026-10-01T00:00:00"/>
    <x v="0"/>
  </r>
  <r>
    <s v="R-011"/>
    <s v="PRJ-024"/>
    <s v="Budget overrun"/>
    <x v="7"/>
    <n v="2"/>
    <n v="2"/>
    <d v="2026-07-16T00:00:00"/>
    <x v="2"/>
  </r>
  <r>
    <s v="R-012"/>
    <s v="PRJ-023"/>
    <s v="Key staff unavailable"/>
    <x v="4"/>
    <n v="1"/>
    <n v="3"/>
    <d v="2026-11-17T00:00:00"/>
    <x v="2"/>
  </r>
  <r>
    <s v="R-013"/>
    <s v="PRJ-017"/>
    <s v="Stakeholder resistance"/>
    <x v="1"/>
    <n v="5"/>
    <n v="1"/>
    <d v="2026-07-07T00:00:00"/>
    <x v="1"/>
  </r>
  <r>
    <s v="R-014"/>
    <s v="PRJ-002"/>
    <s v="Key staff unavailable"/>
    <x v="4"/>
    <n v="4"/>
    <n v="5"/>
    <d v="2026-06-25T00:00:00"/>
    <x v="1"/>
  </r>
  <r>
    <s v="R-015"/>
    <s v="PRJ-014"/>
    <s v="Data migration errors"/>
    <x v="4"/>
    <n v="5"/>
    <n v="5"/>
    <d v="2026-07-23T00:00:00"/>
    <x v="1"/>
  </r>
  <r>
    <s v="R-016"/>
    <s v="PRJ-014"/>
    <s v="Licensing cost increase"/>
    <x v="4"/>
    <n v="4"/>
    <n v="5"/>
    <d v="2026-07-23T00:00:00"/>
    <x v="2"/>
  </r>
  <r>
    <s v="R-017"/>
    <s v="PRJ-009"/>
    <s v="Licensing cost increase"/>
    <x v="5"/>
    <n v="4"/>
    <n v="2"/>
    <d v="2026-09-04T00:00:00"/>
    <x v="0"/>
  </r>
  <r>
    <s v="R-018"/>
    <s v="PRJ-014"/>
    <s v="Data migration errors"/>
    <x v="1"/>
    <n v="2"/>
    <n v="4"/>
    <d v="2026-06-07T00:00:00"/>
    <x v="1"/>
  </r>
  <r>
    <s v="R-019"/>
    <s v="PRJ-004"/>
    <s v="Budget overrun"/>
    <x v="6"/>
    <n v="2"/>
    <n v="3"/>
    <d v="2026-07-15T00:00:00"/>
    <x v="1"/>
  </r>
  <r>
    <s v="R-020"/>
    <s v="PRJ-023"/>
    <s v="Key staff unavailable"/>
    <x v="2"/>
    <n v="4"/>
    <n v="2"/>
    <d v="2026-11-27T00:00:00"/>
    <x v="1"/>
  </r>
  <r>
    <s v="R-021"/>
    <s v="PRJ-006"/>
    <s v="Security vulnerability found"/>
    <x v="4"/>
    <n v="4"/>
    <n v="3"/>
    <d v="2026-09-07T00:00:00"/>
    <x v="1"/>
  </r>
  <r>
    <s v="R-022"/>
    <s v="PRJ-010"/>
    <s v="Key staff unavailable"/>
    <x v="6"/>
    <n v="1"/>
    <n v="3"/>
    <d v="2026-10-15T00:00:00"/>
    <x v="0"/>
  </r>
  <r>
    <s v="R-023"/>
    <s v="PRJ-045"/>
    <s v="Vendor delivery delay"/>
    <x v="2"/>
    <n v="3"/>
    <n v="5"/>
    <d v="2026-10-10T00:00:00"/>
    <x v="2"/>
  </r>
  <r>
    <s v="R-024"/>
    <s v="PRJ-003"/>
    <s v="Key staff unavailable"/>
    <x v="5"/>
    <n v="1"/>
    <n v="1"/>
    <d v="2026-08-09T00:00:00"/>
    <x v="1"/>
  </r>
  <r>
    <s v="R-025"/>
    <s v="PRJ-024"/>
    <s v="Budget overrun"/>
    <x v="8"/>
    <n v="2"/>
    <n v="4"/>
    <d v="2026-12-22T00:00:00"/>
    <x v="1"/>
  </r>
  <r>
    <s v="R-026"/>
    <s v="PRJ-012"/>
    <s v="Budget overrun"/>
    <x v="4"/>
    <n v="5"/>
    <n v="5"/>
    <d v="2026-09-23T00:00:00"/>
    <x v="1"/>
  </r>
  <r>
    <s v="R-027"/>
    <s v="PRJ-003"/>
    <s v="Integration failure"/>
    <x v="7"/>
    <n v="2"/>
    <n v="4"/>
    <d v="2026-06-09T00:00:00"/>
    <x v="1"/>
  </r>
  <r>
    <s v="R-028"/>
    <s v="PRJ-020"/>
    <s v="Key staff unavailable"/>
    <x v="8"/>
    <n v="1"/>
    <n v="5"/>
    <d v="2026-12-08T00:00:00"/>
    <x v="1"/>
  </r>
  <r>
    <s v="R-029"/>
    <s v="PRJ-009"/>
    <s v="Key staff unavailable"/>
    <x v="0"/>
    <n v="1"/>
    <n v="3"/>
    <d v="2026-10-14T00:00:00"/>
    <x v="1"/>
  </r>
  <r>
    <s v="R-030"/>
    <s v="PRJ-019"/>
    <s v="Budget overrun"/>
    <x v="7"/>
    <n v="5"/>
    <n v="2"/>
    <d v="2026-06-06T00:00:00"/>
    <x v="1"/>
  </r>
  <r>
    <s v="R-031"/>
    <s v="PRJ-002"/>
    <s v="Budget overrun"/>
    <x v="5"/>
    <n v="3"/>
    <n v="3"/>
    <d v="2026-10-25T00:00:00"/>
    <x v="1"/>
  </r>
  <r>
    <s v="R-032"/>
    <s v="PRJ-009"/>
    <s v="Stakeholder resistance"/>
    <x v="4"/>
    <n v="2"/>
    <n v="3"/>
    <d v="2026-08-26T00:00:00"/>
    <x v="1"/>
  </r>
  <r>
    <s v="R-033"/>
    <s v="PRJ-009"/>
    <s v="Vendor delivery delay"/>
    <x v="7"/>
    <n v="1"/>
    <n v="5"/>
    <d v="2026-10-07T00:00:00"/>
    <x v="2"/>
  </r>
  <r>
    <s v="R-034"/>
    <s v="PRJ-015"/>
    <s v="Scope creep"/>
    <x v="0"/>
    <n v="1"/>
    <n v="4"/>
    <d v="2026-11-16T00:00:00"/>
    <x v="2"/>
  </r>
  <r>
    <s v="R-035"/>
    <s v="PRJ-012"/>
    <s v="Licensing cost increase"/>
    <x v="8"/>
    <n v="2"/>
    <n v="2"/>
    <d v="2026-08-07T00:00:00"/>
    <x v="1"/>
  </r>
  <r>
    <s v="R-036"/>
    <s v="PRJ-012"/>
    <s v="Data migration errors"/>
    <x v="7"/>
    <n v="2"/>
    <n v="1"/>
    <d v="2026-06-21T00:00:00"/>
    <x v="1"/>
  </r>
  <r>
    <s v="R-037"/>
    <s v="PRJ-013"/>
    <s v="Budget overrun"/>
    <x v="7"/>
    <n v="1"/>
    <n v="4"/>
    <d v="2026-12-17T00:00:00"/>
    <x v="1"/>
  </r>
  <r>
    <s v="R-038"/>
    <s v="PRJ-019"/>
    <s v="Scope creep"/>
    <x v="8"/>
    <n v="1"/>
    <n v="4"/>
    <d v="2026-07-06T00:00:00"/>
    <x v="1"/>
  </r>
  <r>
    <s v="R-039"/>
    <s v="PRJ-014"/>
    <s v="Vendor delivery delay"/>
    <x v="8"/>
    <n v="3"/>
    <n v="3"/>
    <d v="2026-10-11T00:00:00"/>
    <x v="1"/>
  </r>
  <r>
    <s v="R-040"/>
    <s v="PRJ-002"/>
    <s v="Integration failure"/>
    <x v="5"/>
    <n v="3"/>
    <n v="2"/>
    <d v="2026-06-11T00:00: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PRJ-001"/>
    <s v="Customer Portal Upgrade"/>
    <s v="Priya Sharma"/>
    <x v="0"/>
    <d v="2025-06-05T00:00:00"/>
    <d v="2026-04-23T00:00:00"/>
    <n v="455000"/>
    <x v="0"/>
  </r>
  <r>
    <s v="PRJ-002"/>
    <s v="Payroll System Replacement"/>
    <s v="Liam O'Brien"/>
    <x v="0"/>
    <d v="2025-06-19T00:00:00"/>
    <d v="2025-11-15T00:00:00"/>
    <n v="360000"/>
    <x v="0"/>
  </r>
  <r>
    <s v="PRJ-003"/>
    <s v="Records Digitisation"/>
    <s v="James Wilson"/>
    <x v="1"/>
    <d v="2025-07-14T00:00:00"/>
    <d v="2025-12-16T00:00:00"/>
    <n v="190000"/>
    <x v="0"/>
  </r>
  <r>
    <s v="PRJ-004"/>
    <s v="Cyber Security Uplift"/>
    <s v="Priya Sharma"/>
    <x v="1"/>
    <d v="2025-10-04T00:00:00"/>
    <d v="2026-05-26T00:00:00"/>
    <n v="440000"/>
    <x v="1"/>
  </r>
  <r>
    <s v="PRJ-005"/>
    <s v="Fleet Telematics Rollout"/>
    <s v="Mei Chen"/>
    <x v="2"/>
    <d v="2025-04-02T00:00:00"/>
    <d v="2026-05-12T00:00:00"/>
    <n v="585000"/>
    <x v="2"/>
  </r>
  <r>
    <s v="PRJ-006"/>
    <s v="Data Warehouse Migration"/>
    <s v="Aisha Khan"/>
    <x v="3"/>
    <d v="2025-03-18T00:00:00"/>
    <d v="2025-09-14T00:00:00"/>
    <n v="405000"/>
    <x v="0"/>
  </r>
  <r>
    <s v="PRJ-007"/>
    <s v="Mobile Inspections App"/>
    <m/>
    <x v="0"/>
    <d v="2025-10-19T00:00:00"/>
    <d v="2027-01-09T00:00:00"/>
    <n v="160000"/>
    <x v="0"/>
  </r>
  <r>
    <s v="PRJ-008"/>
    <s v="Office Network Refresh"/>
    <s v="Daniel Park"/>
    <x v="1"/>
    <d v="2025-10-02T00:00:00"/>
    <d v="2026-12-12T00:00:00"/>
    <n v="170000"/>
    <x v="3"/>
  </r>
  <r>
    <s v="PRJ-009"/>
    <s v="Grants Management System"/>
    <s v="Aisha Khan"/>
    <x v="3"/>
    <d v="2025-08-19T00:00:00"/>
    <d v="2026-08-06T00:00:00"/>
    <n v="270000"/>
    <x v="4"/>
  </r>
  <r>
    <s v="PRJ-009"/>
    <s v="Grants Management System"/>
    <s v="Aisha Khan"/>
    <x v="3"/>
    <d v="2025-08-19T00:00:00"/>
    <d v="2026-08-06T00:00:00"/>
    <n v="270000"/>
    <x v="4"/>
  </r>
  <r>
    <s v="PRJ-010"/>
    <s v="Asset Register Cleanup"/>
    <s v="Aisha Khan"/>
    <x v="1"/>
    <d v="2025-12-25T00:00:00"/>
    <d v="2026-08-26T00:00:00"/>
    <n v="90000"/>
    <x v="3"/>
  </r>
  <r>
    <s v="PRJ-011"/>
    <s v="Workforce Planning Tool"/>
    <s v="James Wilson"/>
    <x v="0"/>
    <d v="2025-12-15T00:00:00"/>
    <d v="2026-09-08T00:00:00"/>
    <n v="425000"/>
    <x v="2"/>
  </r>
  <r>
    <s v="PRJ-012"/>
    <s v="Call Centre Modernisation"/>
    <s v="Daniel Park"/>
    <x v="1"/>
    <d v="2025-03-25T00:00:00"/>
    <d v="2025-02-23T00:00:00"/>
    <n v="135000"/>
    <x v="0"/>
  </r>
  <r>
    <s v="PRJ-013"/>
    <s v="Identity &amp; Access Management"/>
    <s v="Tom Nguyen"/>
    <x v="2"/>
    <d v="2025-11-03T00:00:00"/>
    <d v="2027-03-29T00:00:00"/>
    <n v="395000"/>
    <x v="3"/>
  </r>
  <r>
    <s v="PRJ-014"/>
    <s v="Budget Reporting Automation"/>
    <s v="Daniel Park"/>
    <x v="0"/>
    <d v="2025-10-16T00:00:00"/>
    <d v="2026-12-06T00:00:00"/>
    <n v="550000"/>
    <x v="0"/>
  </r>
  <r>
    <s v="PRJ-015"/>
    <s v="  website accessibility fixes "/>
    <s v="James Wilson"/>
    <x v="0"/>
    <d v="2025-05-16T00:00:00"/>
    <d v="2026-09-04T00:00:00"/>
    <n v="465000"/>
    <x v="3"/>
  </r>
  <r>
    <s v="PRJ-016"/>
    <s v="Cloud Email Migration"/>
    <s v="Daniel Park"/>
    <x v="2"/>
    <d v="2025-11-19T00:00:00"/>
    <d v="2027-03-02T00:00:00"/>
    <n v="565000"/>
    <x v="2"/>
  </r>
  <r>
    <s v="PRJ-017"/>
    <s v="Contract Management Platform"/>
    <s v="Tom Nguyen"/>
    <x v="3"/>
    <d v="2025-11-12T00:00:00"/>
    <d v="2026-03-23T00:00:00"/>
    <n v="335000"/>
    <x v="0"/>
  </r>
  <r>
    <s v="PRJ-018"/>
    <s v="Service Desk Replacement"/>
    <s v="Aisha Khan"/>
    <x v="3"/>
    <d v="2025-08-02T00:00:00"/>
    <d v="2026-03-21T00:00:00"/>
    <n v="530000"/>
    <x v="4"/>
  </r>
  <r>
    <s v="PRJ-019"/>
    <s v="GIS Mapping Upgrade"/>
    <s v="Mei Chen"/>
    <x v="1"/>
    <d v="2025-07-13T00:00:00"/>
    <d v="2026-07-22T00:00:00"/>
    <n v="90000"/>
    <x v="2"/>
  </r>
  <r>
    <s v="PRJ-020"/>
    <s v="Procurement Portal"/>
    <s v="Sarah Jones"/>
    <x v="2"/>
    <d v="2025-09-09T00:00:00"/>
    <d v="2026-03-18T00:00:00"/>
    <n v="560000"/>
    <x v="2"/>
  </r>
  <r>
    <s v="PRJ-021"/>
    <s v="Document Management Upgrade"/>
    <s v="Mei Chen"/>
    <x v="0"/>
    <d v="2025-06-22T00:00:00"/>
    <d v="2026-05-02T00:00:00"/>
    <n v="185000"/>
    <x v="4"/>
  </r>
  <r>
    <s v="PRJ-022"/>
    <s v="Data Governance Framework"/>
    <s v="Priya Sharma"/>
    <x v="1"/>
    <d v="2025-03-08T00:00:00"/>
    <d v="2026-06-08T00:00:00"/>
    <n v="185000"/>
    <x v="4"/>
  </r>
  <r>
    <s v="PRJ-023"/>
    <s v="Electric Vehicle Charging"/>
    <s v="Sarah Jones"/>
    <x v="2"/>
    <d v="2025-05-10T00:00:00"/>
    <d v="2025-09-09T00:00:00"/>
    <n v="130000"/>
    <x v="3"/>
  </r>
  <r>
    <s v="PRJ-024"/>
    <s v="Council Meeting Livestream"/>
    <s v="Priya Sharma"/>
    <x v="1"/>
    <d v="2025-03-23T00:00:00"/>
    <d v="2026-04-10T00:00:00"/>
    <n v="4350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PRJ-001"/>
    <s v="Customer Portal Upgrade"/>
    <s v="Priya Sharma"/>
    <x v="0"/>
    <s v="05/06/2025"/>
    <s v="23/04/2026"/>
    <n v="455000"/>
    <s v="Green"/>
    <x v="0"/>
    <s v="FIN-101"/>
    <n v="455000"/>
    <n v="0"/>
  </r>
  <r>
    <s v="PRJ-003"/>
    <s v="Records Digitisation"/>
    <s v="James Wilson"/>
    <x v="1"/>
    <s v="14/07/2025"/>
    <s v="16/12/2025"/>
    <n v="190000"/>
    <s v="Green"/>
    <x v="1"/>
    <s v="FIN-103"/>
    <n v="190000"/>
    <n v="0"/>
  </r>
  <r>
    <s v="PRJ-002"/>
    <s v="Payroll System Replacement"/>
    <s v="Liam O'Brien"/>
    <x v="0"/>
    <s v="19/06/2025"/>
    <s v="15/11/2025"/>
    <n v="360000"/>
    <s v="Green"/>
    <x v="2"/>
    <s v="FIN-102"/>
    <n v="360000"/>
    <n v="0"/>
  </r>
  <r>
    <s v="PRJ-017"/>
    <s v="Contract Management Platform"/>
    <s v="Tom Nguyen"/>
    <x v="2"/>
    <s v="12/11/2025"/>
    <s v="23/03/2026"/>
    <n v="335000"/>
    <s v="Green"/>
    <x v="2"/>
    <s v="FIN-115"/>
    <n v="335000"/>
    <n v="0"/>
  </r>
  <r>
    <s v="PRJ-016"/>
    <s v="Cloud Email Migration"/>
    <s v="Daniel Park"/>
    <x v="3"/>
    <s v="19/11/2025"/>
    <s v="02/03/2027"/>
    <n v="565000"/>
    <s v="Complete"/>
    <x v="0"/>
    <s v="FIN-114"/>
    <n v="535000"/>
    <n v="-30000"/>
  </r>
  <r>
    <s v="PRJ-004"/>
    <s v="Cyber Security Uplift"/>
    <s v="Priya Sharma"/>
    <x v="1"/>
    <s v="04/10/2025"/>
    <s v="26/05/2026"/>
    <n v="440000"/>
    <s v="Amber"/>
    <x v="0"/>
    <s v="FIN-104"/>
    <n v="440000"/>
    <n v="0"/>
  </r>
  <r>
    <s v="PRJ-015"/>
    <s v="Website Accessibility Fixes"/>
    <s v="James Wilson"/>
    <x v="0"/>
    <s v="16/05/2025"/>
    <s v="04/09/2026"/>
    <n v="465000"/>
    <s v="Red"/>
    <x v="0"/>
    <s v="FIN-113"/>
    <n v="465000"/>
    <n v="0"/>
  </r>
  <r>
    <s v="PRJ-005"/>
    <s v="Fleet Telematics Rollout"/>
    <s v="Mei Chen"/>
    <x v="3"/>
    <s v="02/04/2025"/>
    <s v="12/05/2026"/>
    <n v="585000"/>
    <s v="Complete"/>
    <x v="0"/>
    <s v="FIN-105"/>
    <n v="585000"/>
    <n v="0"/>
  </r>
  <r>
    <s v="PRJ-007"/>
    <s v="Mobile Inspections App"/>
    <s v=" "/>
    <x v="0"/>
    <s v="19/10/2025"/>
    <s v="09/01/2027"/>
    <n v="160000"/>
    <s v="Green"/>
    <x v="1"/>
    <s v="FIN-107"/>
    <n v="160000"/>
    <n v="0"/>
  </r>
  <r>
    <s v="PRJ-006"/>
    <s v="Data Warehouse Migration"/>
    <s v="Aisha Khan"/>
    <x v="2"/>
    <s v="18/03/2025"/>
    <s v="14/09/2025"/>
    <n v="405000"/>
    <s v="Green"/>
    <x v="0"/>
    <s v="FIN-106"/>
    <n v="405000"/>
    <n v="0"/>
  </r>
  <r>
    <s v="PRJ-021"/>
    <s v="Document Management Upgrade"/>
    <s v="Mei Chen"/>
    <x v="0"/>
    <s v="22/06/2025"/>
    <s v="02/05/2026"/>
    <n v="185000"/>
    <s v="Amber"/>
    <x v="1"/>
    <s v="FIN-118"/>
    <n v="185000"/>
    <n v="0"/>
  </r>
  <r>
    <s v="PRJ-008"/>
    <s v="Office Network Refresh"/>
    <s v="Daniel Park"/>
    <x v="1"/>
    <s v="02/10/2025"/>
    <s v="12/12/2026"/>
    <n v="170000"/>
    <s v="Red"/>
    <x v="1"/>
    <m/>
    <m/>
    <m/>
  </r>
  <r>
    <s v="PRJ-009"/>
    <s v="Grants Management System"/>
    <s v="Aisha Khan"/>
    <x v="2"/>
    <s v="19/08/2025"/>
    <s v="06/08/2026"/>
    <n v="270000"/>
    <s v="Amber"/>
    <x v="2"/>
    <s v="FIN-108"/>
    <n v="270000"/>
    <n v="0"/>
  </r>
  <r>
    <s v="PRJ-013"/>
    <s v="Identity &amp; Access Management"/>
    <s v="Tom Nguyen"/>
    <x v="3"/>
    <s v="03/11/2025"/>
    <s v="29/03/2027"/>
    <n v="395000"/>
    <s v="Red"/>
    <x v="2"/>
    <s v="FIN-111"/>
    <n v="395000"/>
    <n v="0"/>
  </r>
  <r>
    <s v="PRJ-010"/>
    <s v="Asset Register Cleanup"/>
    <s v="Aisha Khan"/>
    <x v="1"/>
    <s v="25/12/2025"/>
    <s v="26/08/2026"/>
    <n v="90000"/>
    <s v="Red"/>
    <x v="1"/>
    <s v="FIN-109"/>
    <n v="90000"/>
    <n v="0"/>
  </r>
  <r>
    <s v="PRJ-011"/>
    <s v="Workforce Planning Tool"/>
    <s v="James Wilson"/>
    <x v="0"/>
    <s v="15/12/2025"/>
    <s v="08/09/2026"/>
    <n v="425000"/>
    <s v="Complete"/>
    <x v="0"/>
    <m/>
    <m/>
    <m/>
  </r>
  <r>
    <s v="PRJ-012"/>
    <s v="Call Centre Modernisation"/>
    <s v="Daniel Park"/>
    <x v="1"/>
    <s v="25/03/2025"/>
    <s v="23/02/2025"/>
    <n v="135000"/>
    <s v="Green"/>
    <x v="1"/>
    <s v="FIN-110"/>
    <n v="135000"/>
    <n v="0"/>
  </r>
  <r>
    <s v="PRJ-014"/>
    <s v="Budget Reporting Automation"/>
    <s v="Daniel Park"/>
    <x v="0"/>
    <s v="16/10/2025"/>
    <s v="06/12/2026"/>
    <n v="550000"/>
    <s v="Green"/>
    <x v="0"/>
    <s v="FIN-112"/>
    <n v="550000"/>
    <n v="0"/>
  </r>
  <r>
    <s v="PRJ-018"/>
    <s v="Service Desk Replacement"/>
    <s v="Aisha Khan"/>
    <x v="2"/>
    <s v="02/08/2025"/>
    <s v="21/03/2026"/>
    <n v="530000"/>
    <s v="Amber"/>
    <x v="0"/>
    <s v="FIN-116"/>
    <n v="530000"/>
    <n v="0"/>
  </r>
  <r>
    <s v="PRJ-022"/>
    <s v="Data Governance Framework"/>
    <s v="Priya Sharma"/>
    <x v="1"/>
    <s v="08/03/2025"/>
    <s v="08/06/2026"/>
    <n v="185000"/>
    <s v="Amber"/>
    <x v="1"/>
    <s v="FIN-119"/>
    <n v="185000"/>
    <n v="0"/>
  </r>
  <r>
    <s v="PRJ-019"/>
    <s v="GIS Mapping Upgrade"/>
    <s v="Mei Chen"/>
    <x v="1"/>
    <s v="13/07/2025"/>
    <s v="22/07/2026"/>
    <n v="90000"/>
    <s v="Complete"/>
    <x v="1"/>
    <m/>
    <m/>
    <m/>
  </r>
  <r>
    <s v="PRJ-020"/>
    <s v="Procurement Portal"/>
    <s v="Sarah Jones"/>
    <x v="3"/>
    <s v="09/09/2025"/>
    <s v="18/03/2026"/>
    <n v="560000"/>
    <s v="Complete"/>
    <x v="0"/>
    <s v="FIN-117"/>
    <n v="530000"/>
    <n v="-30000"/>
  </r>
  <r>
    <s v="PRJ-023"/>
    <s v="Electric Vehicle Charging"/>
    <s v="Sarah Jones"/>
    <x v="3"/>
    <s v="10/05/2025"/>
    <s v="09/09/2025"/>
    <n v="130000"/>
    <s v="Red"/>
    <x v="1"/>
    <m/>
    <m/>
    <m/>
  </r>
  <r>
    <s v="PRJ-024"/>
    <s v="Council Meeting Livestream"/>
    <s v="Priya Sharma"/>
    <x v="1"/>
    <s v="23/03/2025"/>
    <s v="10/04/2026"/>
    <n v="435000"/>
    <s v="Complete"/>
    <x v="0"/>
    <s v="FIN-120"/>
    <n v="435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3ACD1-54A3-2345-AE1F-99343B223ABC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9" firstHeaderRow="1" firstDataRow="2" firstDataCol="1"/>
  <pivotFields count="8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numFmtId="164" showAll="0"/>
    <pivotField numFmtId="164" showAll="0"/>
    <pivotField dataField="1" numFmtId="165" showAll="0"/>
    <pivotField axis="axisCol" showAll="0">
      <items count="6">
        <item x="4"/>
        <item x="1"/>
        <item x="2"/>
        <item x="0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udget ($)" fld="6" baseField="0" baseItem="0" numFmtId="166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FE695-E29B-1A4C-AE1C-FC42FF611421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8">
    <pivotField dataField="1" showAll="0"/>
    <pivotField showAll="0"/>
    <pivotField showAll="0"/>
    <pivotField axis="axisRow" showAll="0">
      <items count="10">
        <item x="8"/>
        <item x="0"/>
        <item x="1"/>
        <item x="5"/>
        <item x="3"/>
        <item x="7"/>
        <item x="2"/>
        <item x="6"/>
        <item x="4"/>
        <item t="default"/>
      </items>
    </pivotField>
    <pivotField showAll="0"/>
    <pivotField showAll="0"/>
    <pivotField numFmtId="164" showAll="0"/>
    <pivotField axis="axisCol" showAll="0">
      <items count="4">
        <item x="2"/>
        <item x="0"/>
        <item x="1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Risk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4C299-4A33-0C48-ABA4-661375482E82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2" firstHeaderRow="1" firstDataRow="2" firstDataCol="1"/>
  <pivotFields count="12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Budget" fld="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1523A4-C721-7F40-A508-ED57EC8E4184}" autoFormatId="16" applyNumberFormats="0" applyBorderFormats="0" applyFontFormats="0" applyPatternFormats="0" applyAlignmentFormats="0" applyWidthHeightFormats="0">
  <queryTableRefresh nextId="8">
    <queryTableFields count="7">
      <queryTableField id="1" name="Finance Code" tableColumnId="1"/>
      <queryTableField id="2" name="Project Title" tableColumnId="2"/>
      <queryTableField id="3" name="PMO Ref" tableColumnId="3"/>
      <queryTableField id="4" name="Approved Budget" tableColumnId="4"/>
      <queryTableField id="5" name="Forecast" tableColumnId="5"/>
      <queryTableField id="6" name="Actual to Date" tableColumnId="6"/>
      <queryTableField id="7" name="Last Update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AD9069A-05C3-7848-AAC9-722F176095AB}" autoFormatId="16" applyNumberFormats="0" applyBorderFormats="0" applyFontFormats="0" applyPatternFormats="0" applyAlignmentFormats="0" applyWidthHeightFormats="0">
  <queryTableRefresh nextId="16">
    <queryTableFields count="9">
      <queryTableField id="10" name="Project ID" tableColumnId="10"/>
      <queryTableField id="11" name="Initiative Name" tableColumnId="11"/>
      <queryTableField id="3" name="Owner Name" tableColumnId="3"/>
      <queryTableField id="12" name="Division" tableColumnId="12"/>
      <queryTableField id="5" name="Start Date" tableColumnId="5"/>
      <queryTableField id="6" name="End Date" tableColumnId="6"/>
      <queryTableField id="7" name="Budget" tableColumnId="7"/>
      <queryTableField id="8" name="Status" tableColumnId="8"/>
      <queryTableField id="9" name="Budget Ban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A5EBD8D8-B18E-6E44-B6A0-6125AD7041D1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Finance Code" tableColumnId="2"/>
      <queryTableField id="3" name="Category" tableColumnId="3"/>
      <queryTableField id="4" name="Amou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6866930-D437-5B43-8C06-BC7D9CC3196B}" autoFormatId="16" applyNumberFormats="0" applyBorderFormats="0" applyFontFormats="0" applyPatternFormats="0" applyAlignmentFormats="0" applyWidthHeightFormats="0">
  <queryTableRefresh nextId="10">
    <queryTableFields count="9">
      <queryTableField id="1" name="Project ID" tableColumnId="1"/>
      <queryTableField id="2" name="Initiative Name" tableColumnId="2"/>
      <queryTableField id="3" name="Owner Name" tableColumnId="3"/>
      <queryTableField id="4" name="Division" tableColumnId="4"/>
      <queryTableField id="5" name="Start Date" tableColumnId="5"/>
      <queryTableField id="6" name="End Date" tableColumnId="6"/>
      <queryTableField id="7" name="Budget" tableColumnId="7"/>
      <queryTableField id="8" name="Status" tableColumnId="8"/>
      <queryTableField id="9" name="Budget Band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C4EFA32-2683-A141-99FE-5B55B4F79C6F}" autoFormatId="16" applyNumberFormats="0" applyBorderFormats="0" applyFontFormats="0" applyPatternFormats="0" applyAlignmentFormats="0" applyWidthHeightFormats="0">
  <queryTableRefresh nextId="13">
    <queryTableFields count="12">
      <queryTableField id="1" name="Project ID" tableColumnId="1"/>
      <queryTableField id="2" name="Initiative Name" tableColumnId="2"/>
      <queryTableField id="3" name="Owner Name" tableColumnId="3"/>
      <queryTableField id="4" name="Division" tableColumnId="4"/>
      <queryTableField id="5" name="Start Date" tableColumnId="5"/>
      <queryTableField id="6" name="End Date" tableColumnId="6"/>
      <queryTableField id="7" name="Budget" tableColumnId="7"/>
      <queryTableField id="8" name="Status" tableColumnId="8"/>
      <queryTableField id="9" name="Budget Band" tableColumnId="9"/>
      <queryTableField id="10" name="Finance Code" tableColumnId="10"/>
      <queryTableField id="11" name="Approved Budget" tableColumnId="11"/>
      <queryTableField id="12" name="Budget Difference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2068C4BE-17AD-8642-B17A-C72DA9FF4925}" autoFormatId="16" applyNumberFormats="0" applyBorderFormats="0" applyFontFormats="0" applyPatternFormats="0" applyAlignmentFormats="0" applyWidthHeightFormats="0">
  <queryTableRefresh nextId="3">
    <queryTableFields count="2">
      <queryTableField id="1" name="Finance Code" tableColumnId="1"/>
      <queryTableField id="2" name="Q1 Spen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024CB78D-CFA7-AB4C-8EA8-4FF2097FFDB4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Q1 Spend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5764B15-AF42-AB40-80E8-4E69D7DCAB9A}" autoFormatId="16" applyNumberFormats="0" applyBorderFormats="0" applyFontFormats="0" applyPatternFormats="0" applyAlignmentFormats="0" applyWidthHeightFormats="0">
  <queryTableRefresh nextId="4">
    <queryTableFields count="3">
      <queryTableField id="1" name="Finance Code" tableColumnId="1"/>
      <queryTableField id="2" name="Quarter" tableColumnId="2"/>
      <queryTableField id="3" name="Forecas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E0370F6-6368-FA47-A85E-F41502B820BB}" autoFormatId="16" applyNumberFormats="0" applyBorderFormats="0" applyFontFormats="0" applyPatternFormats="0" applyAlignmentFormats="0" applyWidthHeightFormats="0">
  <queryTableRefresh nextId="4">
    <queryTableFields count="3">
      <queryTableField id="1" name="Finance Code" tableColumnId="1"/>
      <queryTableField id="2" name="Project Title" tableColumnId="2"/>
      <queryTableField id="3" name="Approved Budget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F5DDC2C-D1FA-CD44-83D8-6A34364DF216}" autoFormatId="16" applyNumberFormats="0" applyBorderFormats="0" applyFontFormats="0" applyPatternFormats="0" applyAlignmentFormats="0" applyWidthHeightFormats="0">
  <queryTableRefresh nextId="15">
    <queryTableFields count="14">
      <queryTableField id="1" name="Project ID" tableColumnId="1"/>
      <queryTableField id="2" name="Initiative Name" tableColumnId="2"/>
      <queryTableField id="3" name="Owner Name" tableColumnId="3"/>
      <queryTableField id="4" name="Division" tableColumnId="4"/>
      <queryTableField id="5" name="Start Date" tableColumnId="5"/>
      <queryTableField id="6" name="End Date" tableColumnId="6"/>
      <queryTableField id="7" name="Budget" tableColumnId="7"/>
      <queryTableField id="8" name="Status" tableColumnId="8"/>
      <queryTableField id="9" name="Budget Band" tableColumnId="9"/>
      <queryTableField id="10" name="Finance Code" tableColumnId="10"/>
      <queryTableField id="11" name="Approved Budget" tableColumnId="11"/>
      <queryTableField id="12" name="Budget Difference" tableColumnId="12"/>
      <queryTableField id="13" name="Q1 Spend" tableColumnId="13"/>
      <queryTableField id="14" name="Burn %" tableColumnId="1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EBB57-4904-BB4A-98EE-3487F4EDBA6A}" name="Table1" displayName="Table1" ref="A1:H26" totalsRowShown="0" headerRowDxfId="77" dataDxfId="75" headerRowBorderDxfId="76" tableBorderDxfId="74" totalsRowBorderDxfId="73">
  <autoFilter ref="A1:H26" xr:uid="{5A1EBB57-4904-BB4A-98EE-3487F4EDBA6A}"/>
  <tableColumns count="8">
    <tableColumn id="1" xr3:uid="{CA4AD6D0-79A4-1843-81FE-B7ACB53F4E65}" name="Project ID" dataDxfId="72"/>
    <tableColumn id="2" xr3:uid="{EA417F6A-2669-9E46-B21B-02B99626A856}" name="Initiative Name" dataDxfId="71"/>
    <tableColumn id="3" xr3:uid="{263AD89E-6E9C-E945-A675-F023AACD9CE0}" name="Owner" dataDxfId="70"/>
    <tableColumn id="4" xr3:uid="{022A6282-D434-5F45-8CA6-B1A81178FC91}" name="Division" dataDxfId="69"/>
    <tableColumn id="5" xr3:uid="{2E2090C4-1B5A-CF48-AC8C-922FEF7758B4}" name="Start Date" dataDxfId="68"/>
    <tableColumn id="6" xr3:uid="{3EBAC713-07FB-9B4A-892F-F2F98BEFE888}" name="End Date" dataDxfId="67"/>
    <tableColumn id="7" xr3:uid="{EFD27E73-841C-A24E-B185-23C6A7B7CF1E}" name="Budget ($)" dataDxfId="66"/>
    <tableColumn id="8" xr3:uid="{9427D262-03A9-F448-8C16-B4173A948958}" name="Status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38A002-5DA7-3C41-8D10-FBD983B48EAA}" name="Table3" displayName="Table3" ref="A1:G20" totalsRowShown="0" headerRowDxfId="64" dataDxfId="63">
  <autoFilter ref="A1:G20" xr:uid="{2738A002-5DA7-3C41-8D10-FBD983B48EAA}"/>
  <tableColumns count="7">
    <tableColumn id="1" xr3:uid="{EF9E0C52-4026-9549-B566-B3100287E648}" name="Issue ID" dataDxfId="62"/>
    <tableColumn id="2" xr3:uid="{B9390F67-A1F6-B445-9918-80C71C7DF57E}" name="Sheet" dataDxfId="61"/>
    <tableColumn id="3" xr3:uid="{2B747147-D1F4-9E4F-92EF-8FADE1B88119}" name="Record" dataDxfId="60"/>
    <tableColumn id="4" xr3:uid="{B2A91DC6-235E-CB42-8959-EB961DDE528E}" name="Problem" dataDxfId="59"/>
    <tableColumn id="5" xr3:uid="{9BB13511-AE8E-0A41-A36F-C25BF7A3A622}" name="Impact" dataDxfId="58"/>
    <tableColumn id="6" xr3:uid="{005282E5-5A63-DB4C-AAFA-BDE0ABB4DEB9}" name="Suggested Action" dataDxfId="57"/>
    <tableColumn id="7" xr3:uid="{459C3CF8-B23C-0046-B19E-EF19F9B1249D}" name="Status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AE08D-07BB-CA42-AE16-C08F58753A98}" name="finance_Clean" displayName="finance_Clean" ref="A1:G23" tableType="queryTable" totalsRowShown="0">
  <autoFilter ref="A1:G23" xr:uid="{FF7AE08D-07BB-CA42-AE16-C08F58753A98}"/>
  <tableColumns count="7">
    <tableColumn id="1" xr3:uid="{21A46011-F87D-9D40-BB4B-3623E39AF6C7}" uniqueName="1" name="Finance Code" queryTableFieldId="1" dataDxfId="26"/>
    <tableColumn id="2" xr3:uid="{E1FE5DA5-0FBB-5741-8162-B4C2E6BC1B04}" uniqueName="2" name="Project Title" queryTableFieldId="2" dataDxfId="25"/>
    <tableColumn id="3" xr3:uid="{C06CF937-1D75-7946-B3CE-05D7B7FAACDB}" uniqueName="3" name="PMO Ref" queryTableFieldId="3" dataDxfId="24"/>
    <tableColumn id="4" xr3:uid="{1CFE42C4-7F43-E646-99C4-A6AF5F92E9F6}" uniqueName="4" name="Approved Budget" queryTableFieldId="4"/>
    <tableColumn id="5" xr3:uid="{6571BF3A-44C4-3845-912E-0E90741D44BF}" uniqueName="5" name="Forecast" queryTableFieldId="5"/>
    <tableColumn id="6" xr3:uid="{197B0438-C421-9147-88C8-06E17AAD60DF}" uniqueName="6" name="Actual to Date" queryTableFieldId="6"/>
    <tableColumn id="7" xr3:uid="{13BB6089-B688-634D-8649-041C25327041}" uniqueName="7" name="Last Updated" queryTableFieldId="7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0C79A3-F5FD-DD49-88AA-D32887784FF3}" name="PMO_Clean" displayName="PMO_Clean" ref="A1:I25" tableType="queryTable" totalsRowShown="0">
  <autoFilter ref="A1:I25" xr:uid="{CB0C79A3-F5FD-DD49-88AA-D32887784FF3}"/>
  <tableColumns count="9">
    <tableColumn id="10" xr3:uid="{D7464A6C-8122-6C46-9A9A-2E54F9FCB7C9}" uniqueName="10" name="Project ID" queryTableFieldId="10" dataDxfId="55"/>
    <tableColumn id="11" xr3:uid="{B6D062E1-4981-9742-AAD5-BE1EDFBBB655}" uniqueName="11" name="Initiative Name" queryTableFieldId="11" dataDxfId="54"/>
    <tableColumn id="3" xr3:uid="{EC88D988-70A5-854D-9EF1-90C63A0A8739}" uniqueName="3" name="Owner Name" queryTableFieldId="3" dataDxfId="53"/>
    <tableColumn id="12" xr3:uid="{BDBC4C44-0A10-7144-A9F5-F018798EF532}" uniqueName="12" name="Division" queryTableFieldId="12" dataDxfId="52"/>
    <tableColumn id="5" xr3:uid="{1416BD83-99CC-6148-850A-5E61E97C05C9}" uniqueName="5" name="Start Date" queryTableFieldId="5" dataDxfId="51"/>
    <tableColumn id="6" xr3:uid="{C1345DF0-8A7C-4A43-BD1F-07F73550F47A}" uniqueName="6" name="End Date" queryTableFieldId="6" dataDxfId="50"/>
    <tableColumn id="7" xr3:uid="{EBE239EA-F75F-DE4B-B2CE-7097A0469F20}" uniqueName="7" name="Budget" queryTableFieldId="7"/>
    <tableColumn id="8" xr3:uid="{2A97F7B7-65A3-A047-B10C-026071FC3624}" uniqueName="8" name="Status" queryTableFieldId="8" dataDxfId="49"/>
    <tableColumn id="9" xr3:uid="{E852069A-A27C-AE44-8728-CB5EAD672AB8}" uniqueName="9" name="Budget Band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18EA8B-5803-774C-86E9-E576C6978C12}" name="Spend_Q1" displayName="Spend_Q1" ref="A1:D61" tableType="queryTable" totalsRowShown="0">
  <autoFilter ref="A1:D61" xr:uid="{6D18EA8B-5803-774C-86E9-E576C6978C12}"/>
  <tableColumns count="4">
    <tableColumn id="1" xr3:uid="{F9C2DC48-8EC3-3F49-B0C1-EE5E5E0F272C}" uniqueName="1" name="Month" queryTableFieldId="1" dataDxfId="27"/>
    <tableColumn id="2" xr3:uid="{C71CC8DC-A2F4-3248-BC09-518ED33D255B}" uniqueName="2" name="Finance Code" queryTableFieldId="2" dataDxfId="48"/>
    <tableColumn id="3" xr3:uid="{4C4D4895-4C82-C74C-A612-0E65E24D81F6}" uniqueName="3" name="Category" queryTableFieldId="3" dataDxfId="47"/>
    <tableColumn id="4" xr3:uid="{482D647C-B3DD-1347-A3CC-8E0DA4C1A887}" uniqueName="4" name="Amoun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0F55A6-3522-6547-B591-B01D1847F4EC}" name="Missing_in_Finance" displayName="Missing_in_Finance" ref="A1:I5" tableType="queryTable" totalsRowShown="0">
  <autoFilter ref="A1:I5" xr:uid="{110F55A6-3522-6547-B591-B01D1847F4EC}"/>
  <tableColumns count="9">
    <tableColumn id="1" xr3:uid="{425AEC4E-0C93-BB42-A7CF-E77468110CEE}" uniqueName="1" name="Project ID" queryTableFieldId="1" dataDxfId="46"/>
    <tableColumn id="2" xr3:uid="{9E2E9B88-0F05-A949-94AE-06FD93CDAB46}" uniqueName="2" name="Initiative Name" queryTableFieldId="2" dataDxfId="45"/>
    <tableColumn id="3" xr3:uid="{AA0FCEC6-85B0-0D43-84F3-A5274D3E783D}" uniqueName="3" name="Owner Name" queryTableFieldId="3" dataDxfId="44"/>
    <tableColumn id="4" xr3:uid="{531B2DF4-D369-404F-B148-E2316B43BB07}" uniqueName="4" name="Division" queryTableFieldId="4" dataDxfId="43"/>
    <tableColumn id="5" xr3:uid="{6F12715E-1FD8-8044-B1B2-74373F8CF919}" uniqueName="5" name="Start Date" queryTableFieldId="5" dataDxfId="42"/>
    <tableColumn id="6" xr3:uid="{2C539237-980A-CE4B-97CC-9C3F7D09471B}" uniqueName="6" name="End Date" queryTableFieldId="6" dataDxfId="41"/>
    <tableColumn id="7" xr3:uid="{AA077BCA-69AB-1044-A76B-3CCAB64647EF}" uniqueName="7" name="Budget" queryTableFieldId="7"/>
    <tableColumn id="8" xr3:uid="{E30C8132-7513-2343-86D6-71789EA477AE}" uniqueName="8" name="Status" queryTableFieldId="8" dataDxfId="40"/>
    <tableColumn id="9" xr3:uid="{979F3A02-320B-9040-B622-767A403FA145}" uniqueName="9" name="Budget Band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F3C4DA-4D06-E940-B86D-A087D96A6F69}" name="Crosswalk" displayName="Crosswalk" ref="A1:L25" tableType="queryTable" totalsRowShown="0">
  <autoFilter ref="A1:L25" xr:uid="{DDF3C4DA-4D06-E940-B86D-A087D96A6F69}"/>
  <tableColumns count="12">
    <tableColumn id="1" xr3:uid="{CB042A4D-1E03-E144-BE01-5DAE1C8A8E53}" uniqueName="1" name="Project ID" queryTableFieldId="1" dataDxfId="39"/>
    <tableColumn id="2" xr3:uid="{1AC59878-461E-A340-A504-B1D2C9E4929C}" uniqueName="2" name="Initiative Name" queryTableFieldId="2" dataDxfId="38"/>
    <tableColumn id="3" xr3:uid="{B8FFCFC9-70DE-B44E-8BC6-020031E7B564}" uniqueName="3" name="Owner Name" queryTableFieldId="3" dataDxfId="37"/>
    <tableColumn id="4" xr3:uid="{D4EFAE6D-F24A-4044-BE05-C385B33AF1A3}" uniqueName="4" name="Division" queryTableFieldId="4" dataDxfId="36"/>
    <tableColumn id="5" xr3:uid="{0249F446-1C39-C84E-B18C-BE187336704A}" uniqueName="5" name="Start Date" queryTableFieldId="5" dataDxfId="35"/>
    <tableColumn id="6" xr3:uid="{A743B9F7-A284-6A45-87FA-A37B7AF2634E}" uniqueName="6" name="End Date" queryTableFieldId="6" dataDxfId="34"/>
    <tableColumn id="7" xr3:uid="{C229CECB-4C7E-5F4C-A434-F157174FEB0A}" uniqueName="7" name="Budget" queryTableFieldId="7"/>
    <tableColumn id="8" xr3:uid="{A3326AF5-5696-B64A-9895-2E94F20D18A2}" uniqueName="8" name="Status" queryTableFieldId="8" dataDxfId="33"/>
    <tableColumn id="9" xr3:uid="{F303C20D-1167-554E-B082-1C99D3F309FC}" uniqueName="9" name="Budget Band" queryTableFieldId="9"/>
    <tableColumn id="10" xr3:uid="{7878F8D0-6F1E-C841-BB13-68E80F54DEF1}" uniqueName="10" name="Finance Code" queryTableFieldId="10" dataDxfId="32"/>
    <tableColumn id="11" xr3:uid="{EDA43C01-49A8-6041-AF46-862B650A1BEC}" uniqueName="11" name="Approved Budget" queryTableFieldId="11"/>
    <tableColumn id="12" xr3:uid="{B387C310-B6B7-BD4A-B0B4-3A01F6FEEB4E}" uniqueName="12" name="Budget Difference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7EB533-3147-A141-ABA6-4FE682637541}" name="Spend_by_Code" displayName="Spend_by_Code" ref="A1:B22" tableType="queryTable" totalsRowShown="0">
  <autoFilter ref="A1:B22" xr:uid="{8F7EB533-3147-A141-ABA6-4FE682637541}"/>
  <tableColumns count="2">
    <tableColumn id="1" xr3:uid="{1A3ABC98-AD0B-5B49-A088-97ED0CE466CA}" uniqueName="1" name="Finance Code" queryTableFieldId="1" dataDxfId="31"/>
    <tableColumn id="2" xr3:uid="{0EFC259D-7968-BC46-BF43-AA644D2C1CD3}" uniqueName="2" name="Q1 Spend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FA5ECE-535E-F047-8035-1D91D7068D66}" name="Spend_by_Category" displayName="Spend_by_Category" ref="A1:B4" tableType="queryTable" totalsRowShown="0">
  <autoFilter ref="A1:B4" xr:uid="{33FA5ECE-535E-F047-8035-1D91D7068D66}"/>
  <tableColumns count="2">
    <tableColumn id="1" xr3:uid="{28EE0BD9-7129-0A43-9777-A67FD95F7DCA}" uniqueName="1" name="Category" queryTableFieldId="1" dataDxfId="30"/>
    <tableColumn id="2" xr3:uid="{3C4BDE0B-E58F-4F4C-AFAA-02391314FB9A}" uniqueName="2" name="Q1 Spend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770B056-E639-4C41-A4EA-2E0B14156A3C}" name="forecast_by_quarter" displayName="forecast_by_quarter" ref="A1:C89" tableType="queryTable" totalsRowShown="0">
  <autoFilter ref="A1:C89" xr:uid="{C770B056-E639-4C41-A4EA-2E0B14156A3C}"/>
  <tableColumns count="3">
    <tableColumn id="1" xr3:uid="{2C2486B7-150E-7741-AF5F-B5EBC44B9BB7}" uniqueName="1" name="Finance Code" queryTableFieldId="1" dataDxfId="29"/>
    <tableColumn id="2" xr3:uid="{A1B03AA5-F267-5E44-A027-B8C7EC26AE7B}" uniqueName="2" name="Quarter" queryTableFieldId="2" dataDxfId="28"/>
    <tableColumn id="3" xr3:uid="{4A8994E8-D0C7-7747-A125-9FF69C94C543}" uniqueName="3" name="Forecast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49AE49-6F68-E84A-AB9E-140794C53014}" name="Missing_in_PMO" displayName="Missing_in_PMO" ref="A1:C3" tableType="queryTable" totalsRowShown="0">
  <autoFilter ref="A1:C3" xr:uid="{7D49AE49-6F68-E84A-AB9E-140794C53014}"/>
  <tableColumns count="3">
    <tableColumn id="1" xr3:uid="{D8772B97-2746-6B44-A2B2-7F095DF19C52}" uniqueName="1" name="Finance Code" queryTableFieldId="1" dataDxfId="22"/>
    <tableColumn id="2" xr3:uid="{F5E837B4-17E1-824B-B56C-4538CD47CE5D}" uniqueName="2" name="Project Title" queryTableFieldId="2" dataDxfId="21"/>
    <tableColumn id="3" xr3:uid="{1747225E-B373-9C43-9732-D6DB45DFC0B0}" uniqueName="3" name="Approved Budget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89A2C0-AEFA-C246-8B07-F037910F7945}" name="Budget_Burn" displayName="Budget_Burn" ref="A1:N25" tableType="queryTable" totalsRowShown="0">
  <autoFilter ref="A1:N25" xr:uid="{A589A2C0-AEFA-C246-8B07-F037910F7945}"/>
  <tableColumns count="14">
    <tableColumn id="1" xr3:uid="{CF357E55-2228-EA4E-86A6-9B855A83FF8F}" uniqueName="1" name="Project ID" queryTableFieldId="1" dataDxfId="20"/>
    <tableColumn id="2" xr3:uid="{24AA44B3-FA47-FB49-90BB-49A04CF38A44}" uniqueName="2" name="Initiative Name" queryTableFieldId="2" dataDxfId="19"/>
    <tableColumn id="3" xr3:uid="{A2ECE945-D4EA-E248-8552-9686BC70E7E2}" uniqueName="3" name="Owner Name" queryTableFieldId="3" dataDxfId="18"/>
    <tableColumn id="4" xr3:uid="{0908B458-19D1-254D-94E7-1E619C34B3B7}" uniqueName="4" name="Division" queryTableFieldId="4" dataDxfId="17"/>
    <tableColumn id="5" xr3:uid="{3DEE9B3B-1506-164E-A886-6D3F546D9A4D}" uniqueName="5" name="Start Date" queryTableFieldId="5" dataDxfId="16"/>
    <tableColumn id="6" xr3:uid="{75D2EB46-F0E3-C745-86C4-B768664A09CE}" uniqueName="6" name="End Date" queryTableFieldId="6" dataDxfId="15"/>
    <tableColumn id="7" xr3:uid="{33AC9A04-0210-3C4E-829D-6A46A5F18FA7}" uniqueName="7" name="Budget" queryTableFieldId="7"/>
    <tableColumn id="8" xr3:uid="{2C2110A2-F2EE-0549-A384-57DA4CB8BBC7}" uniqueName="8" name="Status" queryTableFieldId="8" dataDxfId="14"/>
    <tableColumn id="9" xr3:uid="{77FBF107-E9B2-1740-A55B-D4A109E0EF53}" uniqueName="9" name="Budget Band" queryTableFieldId="9"/>
    <tableColumn id="10" xr3:uid="{752B29C5-85DD-244D-BBF6-41045885B2CF}" uniqueName="10" name="Finance Code" queryTableFieldId="10" dataDxfId="13"/>
    <tableColumn id="11" xr3:uid="{BDC48159-8F1D-B34C-94F3-F67ECE29B34A}" uniqueName="11" name="Approved Budget" queryTableFieldId="11"/>
    <tableColumn id="12" xr3:uid="{9B4A083B-9DA5-EC43-8E5A-BBFA6C685A5B}" uniqueName="12" name="Budget Difference" queryTableFieldId="12"/>
    <tableColumn id="13" xr3:uid="{02F99703-D1AA-B04C-B750-CC642125E915}" uniqueName="13" name="Q1 Spend" queryTableFieldId="13"/>
    <tableColumn id="14" xr3:uid="{970CE86C-B683-644F-A1BA-0759134C8F94}" uniqueName="14" name="Burn %" queryTableFieldId="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FC2730-13A2-3D44-9DD3-4247AD396C42}" name="Table8" displayName="Table8" ref="A15:D20" totalsRowShown="0" headerRowDxfId="12" dataDxfId="4">
  <autoFilter ref="A15:D20" xr:uid="{70FC2730-13A2-3D44-9DD3-4247AD396C42}"/>
  <tableColumns count="4">
    <tableColumn id="1" xr3:uid="{BCBAEBBB-81C4-0840-AE2D-3267828D1658}" name="#" dataDxfId="0"/>
    <tableColumn id="2" xr3:uid="{80DBB0CE-0CAE-C84B-8F13-036CF5410A08}" name="Finding" dataDxfId="1"/>
    <tableColumn id="3" xr3:uid="{3DB29C57-9862-4A4B-876E-BED13C557F5B}" name="Severity" dataDxfId="2"/>
    <tableColumn id="4" xr3:uid="{4E8D1410-3BC8-D64F-B50E-3639C2E11BE7}" name="Ac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zoomScale="139" zoomScaleNormal="100" workbookViewId="0">
      <selection activeCell="C22" sqref="C22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95" customWidth="1"/>
  </cols>
  <sheetData>
    <row r="2" spans="2:3" ht="20" x14ac:dyDescent="0.2">
      <c r="B2" s="2" t="s">
        <v>0</v>
      </c>
    </row>
    <row r="3" spans="2:3" ht="30" customHeight="1" x14ac:dyDescent="0.2">
      <c r="B3" s="49" t="s">
        <v>1</v>
      </c>
      <c r="C3" s="49"/>
    </row>
    <row r="4" spans="2:3" x14ac:dyDescent="0.2">
      <c r="B4" s="1"/>
    </row>
    <row r="5" spans="2:3" x14ac:dyDescent="0.2">
      <c r="B5" s="3" t="s">
        <v>2</v>
      </c>
    </row>
    <row r="6" spans="2:3" ht="29" x14ac:dyDescent="0.2">
      <c r="B6" s="4" t="s">
        <v>3</v>
      </c>
      <c r="C6" s="5" t="s">
        <v>4</v>
      </c>
    </row>
    <row r="7" spans="2:3" x14ac:dyDescent="0.2">
      <c r="B7" s="4" t="s">
        <v>5</v>
      </c>
      <c r="C7" s="5" t="s">
        <v>6</v>
      </c>
    </row>
    <row r="8" spans="2:3" x14ac:dyDescent="0.2">
      <c r="B8" s="4" t="s">
        <v>7</v>
      </c>
      <c r="C8" s="5" t="s">
        <v>8</v>
      </c>
    </row>
    <row r="9" spans="2:3" x14ac:dyDescent="0.2">
      <c r="B9" s="1"/>
    </row>
    <row r="10" spans="2:3" x14ac:dyDescent="0.2">
      <c r="B10" s="3" t="s">
        <v>9</v>
      </c>
    </row>
    <row r="11" spans="2:3" x14ac:dyDescent="0.2">
      <c r="B11" s="1" t="s">
        <v>10</v>
      </c>
      <c r="C11" s="5" t="s">
        <v>11</v>
      </c>
    </row>
    <row r="12" spans="2:3" x14ac:dyDescent="0.2">
      <c r="B12" s="1" t="s">
        <v>12</v>
      </c>
      <c r="C12" s="5" t="s">
        <v>13</v>
      </c>
    </row>
    <row r="13" spans="2:3" x14ac:dyDescent="0.2">
      <c r="B13" s="1" t="s">
        <v>14</v>
      </c>
      <c r="C13" s="5" t="s">
        <v>15</v>
      </c>
    </row>
    <row r="14" spans="2:3" x14ac:dyDescent="0.2">
      <c r="B14" s="1" t="s">
        <v>16</v>
      </c>
      <c r="C14" s="5" t="s">
        <v>17</v>
      </c>
    </row>
    <row r="15" spans="2:3" x14ac:dyDescent="0.2">
      <c r="B15" s="1" t="s">
        <v>18</v>
      </c>
      <c r="C15" s="5" t="s">
        <v>19</v>
      </c>
    </row>
    <row r="16" spans="2:3" x14ac:dyDescent="0.2">
      <c r="B16" s="1"/>
    </row>
    <row r="17" spans="2:3" x14ac:dyDescent="0.2">
      <c r="B17" s="3" t="s">
        <v>20</v>
      </c>
    </row>
    <row r="18" spans="2:3" x14ac:dyDescent="0.2">
      <c r="B18" s="6" t="s">
        <v>21</v>
      </c>
      <c r="C18" s="5" t="s">
        <v>22</v>
      </c>
    </row>
    <row r="19" spans="2:3" x14ac:dyDescent="0.2">
      <c r="B19" s="7" t="s">
        <v>23</v>
      </c>
      <c r="C19" s="5" t="s">
        <v>24</v>
      </c>
    </row>
    <row r="20" spans="2:3" x14ac:dyDescent="0.2">
      <c r="B20" s="1"/>
    </row>
    <row r="21" spans="2:3" x14ac:dyDescent="0.2">
      <c r="B21" s="3" t="s">
        <v>25</v>
      </c>
    </row>
    <row r="22" spans="2:3" x14ac:dyDescent="0.2">
      <c r="B22" s="1" t="s">
        <v>26</v>
      </c>
      <c r="C22" s="38" t="s">
        <v>27</v>
      </c>
    </row>
    <row r="23" spans="2:3" x14ac:dyDescent="0.2">
      <c r="B23" s="1" t="s">
        <v>28</v>
      </c>
      <c r="C23" s="5" t="s">
        <v>29</v>
      </c>
    </row>
    <row r="24" spans="2:3" x14ac:dyDescent="0.2">
      <c r="B24" s="1" t="s">
        <v>30</v>
      </c>
      <c r="C24" s="5" t="s">
        <v>31</v>
      </c>
    </row>
    <row r="25" spans="2:3" x14ac:dyDescent="0.2">
      <c r="B25" s="1"/>
    </row>
    <row r="26" spans="2:3" x14ac:dyDescent="0.2">
      <c r="B26" s="3" t="s">
        <v>32</v>
      </c>
    </row>
    <row r="27" spans="2:3" ht="29" x14ac:dyDescent="0.2">
      <c r="B27" s="1" t="s">
        <v>33</v>
      </c>
      <c r="C27" s="5" t="s">
        <v>34</v>
      </c>
    </row>
  </sheetData>
  <mergeCells count="1"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zoomScale="134" zoomScaleNormal="100" workbookViewId="0">
      <pane ySplit="1" topLeftCell="A2" activePane="bottomLeft" state="frozen"/>
      <selection pane="bottomLeft" activeCell="G31" sqref="G31"/>
    </sheetView>
  </sheetViews>
  <sheetFormatPr baseColWidth="10" defaultColWidth="8.6640625" defaultRowHeight="15" x14ac:dyDescent="0.2"/>
  <cols>
    <col min="1" max="1" width="11" customWidth="1"/>
    <col min="2" max="2" width="34" customWidth="1"/>
    <col min="3" max="3" width="16" customWidth="1"/>
    <col min="4" max="6" width="12" customWidth="1"/>
    <col min="7" max="7" width="13" customWidth="1"/>
    <col min="8" max="8" width="11" customWidth="1"/>
    <col min="11" max="11" width="15.33203125" customWidth="1"/>
  </cols>
  <sheetData>
    <row r="1" spans="1:11" ht="30" customHeight="1" x14ac:dyDescent="0.2">
      <c r="A1" s="30" t="s">
        <v>35</v>
      </c>
      <c r="B1" s="31" t="s">
        <v>36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  <c r="H1" s="32" t="s">
        <v>42</v>
      </c>
    </row>
    <row r="2" spans="1:11" ht="17" x14ac:dyDescent="0.2">
      <c r="A2" s="22" t="s">
        <v>43</v>
      </c>
      <c r="B2" s="34" t="s">
        <v>44</v>
      </c>
      <c r="C2" s="34" t="s">
        <v>45</v>
      </c>
      <c r="D2" s="34" t="s">
        <v>46</v>
      </c>
      <c r="E2" s="10">
        <v>45813</v>
      </c>
      <c r="F2" s="10">
        <v>46135</v>
      </c>
      <c r="G2" s="11">
        <v>455000</v>
      </c>
      <c r="H2" s="33" t="s">
        <v>47</v>
      </c>
      <c r="K2" s="35"/>
    </row>
    <row r="3" spans="1:11" ht="17" x14ac:dyDescent="0.2">
      <c r="A3" s="22" t="s">
        <v>48</v>
      </c>
      <c r="B3" s="9" t="s">
        <v>49</v>
      </c>
      <c r="C3" s="9" t="s">
        <v>50</v>
      </c>
      <c r="D3" s="9" t="s">
        <v>46</v>
      </c>
      <c r="E3" s="10">
        <v>45827</v>
      </c>
      <c r="F3" s="10">
        <v>45976</v>
      </c>
      <c r="G3" s="11">
        <v>360000</v>
      </c>
      <c r="H3" s="33" t="s">
        <v>47</v>
      </c>
      <c r="K3" s="35"/>
    </row>
    <row r="4" spans="1:11" ht="17" x14ac:dyDescent="0.2">
      <c r="A4" s="22" t="s">
        <v>51</v>
      </c>
      <c r="B4" s="9" t="s">
        <v>52</v>
      </c>
      <c r="C4" s="9" t="s">
        <v>53</v>
      </c>
      <c r="D4" s="9" t="s">
        <v>54</v>
      </c>
      <c r="E4" s="10">
        <v>45852</v>
      </c>
      <c r="F4" s="10">
        <v>46007</v>
      </c>
      <c r="G4" s="11">
        <v>190000</v>
      </c>
      <c r="H4" s="23" t="s">
        <v>47</v>
      </c>
      <c r="K4" s="35"/>
    </row>
    <row r="5" spans="1:11" ht="17" x14ac:dyDescent="0.2">
      <c r="A5" s="22" t="s">
        <v>55</v>
      </c>
      <c r="B5" s="9" t="s">
        <v>56</v>
      </c>
      <c r="C5" s="9" t="s">
        <v>45</v>
      </c>
      <c r="D5" s="9" t="s">
        <v>54</v>
      </c>
      <c r="E5" s="10">
        <v>45934</v>
      </c>
      <c r="F5" s="10">
        <v>46168</v>
      </c>
      <c r="G5" s="11">
        <v>440000</v>
      </c>
      <c r="H5" s="23" t="s">
        <v>57</v>
      </c>
      <c r="K5" s="35"/>
    </row>
    <row r="6" spans="1:11" ht="17" x14ac:dyDescent="0.2">
      <c r="A6" s="22" t="s">
        <v>58</v>
      </c>
      <c r="B6" s="9" t="s">
        <v>59</v>
      </c>
      <c r="C6" s="9" t="s">
        <v>60</v>
      </c>
      <c r="D6" s="9" t="s">
        <v>61</v>
      </c>
      <c r="E6" s="10">
        <v>45749</v>
      </c>
      <c r="F6" s="10">
        <v>46154</v>
      </c>
      <c r="G6" s="11">
        <v>585000</v>
      </c>
      <c r="H6" s="23" t="s">
        <v>62</v>
      </c>
      <c r="K6" s="35"/>
    </row>
    <row r="7" spans="1:11" ht="17" x14ac:dyDescent="0.2">
      <c r="A7" s="22" t="s">
        <v>63</v>
      </c>
      <c r="B7" s="9" t="s">
        <v>64</v>
      </c>
      <c r="C7" s="9" t="s">
        <v>65</v>
      </c>
      <c r="D7" s="9" t="s">
        <v>66</v>
      </c>
      <c r="E7" s="10">
        <v>45734</v>
      </c>
      <c r="F7" s="10">
        <v>45914</v>
      </c>
      <c r="G7" s="11">
        <v>405000</v>
      </c>
      <c r="H7" s="23" t="s">
        <v>47</v>
      </c>
      <c r="K7" s="35"/>
    </row>
    <row r="8" spans="1:11" ht="17" x14ac:dyDescent="0.2">
      <c r="A8" s="47" t="s">
        <v>67</v>
      </c>
      <c r="B8" s="9" t="s">
        <v>68</v>
      </c>
      <c r="C8" s="9"/>
      <c r="D8" s="9" t="s">
        <v>46</v>
      </c>
      <c r="E8" s="10">
        <v>45949</v>
      </c>
      <c r="F8" s="10">
        <v>46396</v>
      </c>
      <c r="G8" s="11">
        <v>160000</v>
      </c>
      <c r="H8" s="23" t="s">
        <v>47</v>
      </c>
      <c r="K8" s="35"/>
    </row>
    <row r="9" spans="1:11" ht="17" x14ac:dyDescent="0.2">
      <c r="A9" s="22" t="s">
        <v>69</v>
      </c>
      <c r="B9" s="9" t="s">
        <v>70</v>
      </c>
      <c r="C9" s="9" t="s">
        <v>71</v>
      </c>
      <c r="D9" s="9" t="s">
        <v>54</v>
      </c>
      <c r="E9" s="10">
        <v>45932</v>
      </c>
      <c r="F9" s="10">
        <v>46368</v>
      </c>
      <c r="G9" s="11">
        <v>170000</v>
      </c>
      <c r="H9" s="23" t="s">
        <v>72</v>
      </c>
      <c r="K9" s="35"/>
    </row>
    <row r="10" spans="1:11" ht="17" x14ac:dyDescent="0.2">
      <c r="A10" s="22" t="s">
        <v>73</v>
      </c>
      <c r="B10" s="9" t="s">
        <v>74</v>
      </c>
      <c r="C10" s="9" t="s">
        <v>65</v>
      </c>
      <c r="D10" s="9" t="s">
        <v>66</v>
      </c>
      <c r="E10" s="10">
        <v>45888</v>
      </c>
      <c r="F10" s="10">
        <v>46240</v>
      </c>
      <c r="G10" s="11">
        <v>270000</v>
      </c>
      <c r="H10" s="23" t="s">
        <v>75</v>
      </c>
      <c r="K10" s="35"/>
    </row>
    <row r="11" spans="1:11" ht="17" x14ac:dyDescent="0.2">
      <c r="A11" s="22" t="s">
        <v>73</v>
      </c>
      <c r="B11" s="9" t="s">
        <v>74</v>
      </c>
      <c r="C11" s="9" t="s">
        <v>65</v>
      </c>
      <c r="D11" s="9" t="s">
        <v>66</v>
      </c>
      <c r="E11" s="10">
        <v>45888</v>
      </c>
      <c r="F11" s="10">
        <v>46240</v>
      </c>
      <c r="G11" s="11">
        <v>270000</v>
      </c>
      <c r="H11" s="23" t="s">
        <v>75</v>
      </c>
      <c r="K11" s="35"/>
    </row>
    <row r="12" spans="1:11" ht="17" x14ac:dyDescent="0.2">
      <c r="A12" s="22" t="s">
        <v>76</v>
      </c>
      <c r="B12" s="9" t="s">
        <v>77</v>
      </c>
      <c r="C12" s="9" t="s">
        <v>65</v>
      </c>
      <c r="D12" s="9" t="s">
        <v>54</v>
      </c>
      <c r="E12" s="10">
        <v>46016</v>
      </c>
      <c r="F12" s="10">
        <v>46260</v>
      </c>
      <c r="G12" s="11">
        <v>90000</v>
      </c>
      <c r="H12" s="23" t="s">
        <v>72</v>
      </c>
      <c r="K12" s="35"/>
    </row>
    <row r="13" spans="1:11" ht="17" x14ac:dyDescent="0.2">
      <c r="A13" s="22" t="s">
        <v>78</v>
      </c>
      <c r="B13" s="9" t="s">
        <v>79</v>
      </c>
      <c r="C13" s="9" t="s">
        <v>53</v>
      </c>
      <c r="D13" s="9" t="s">
        <v>46</v>
      </c>
      <c r="E13" s="10">
        <v>46006</v>
      </c>
      <c r="F13" s="10">
        <v>46273</v>
      </c>
      <c r="G13" s="11">
        <v>425000</v>
      </c>
      <c r="H13" s="23" t="s">
        <v>62</v>
      </c>
      <c r="K13" s="35"/>
    </row>
    <row r="14" spans="1:11" ht="17" x14ac:dyDescent="0.2">
      <c r="A14" s="22" t="s">
        <v>80</v>
      </c>
      <c r="B14" s="9" t="s">
        <v>81</v>
      </c>
      <c r="C14" s="9" t="s">
        <v>71</v>
      </c>
      <c r="D14" s="9" t="s">
        <v>54</v>
      </c>
      <c r="E14" s="10">
        <v>45741</v>
      </c>
      <c r="F14" s="10">
        <v>45711</v>
      </c>
      <c r="G14" s="11">
        <v>135000</v>
      </c>
      <c r="H14" s="23" t="s">
        <v>47</v>
      </c>
      <c r="K14" s="35"/>
    </row>
    <row r="15" spans="1:11" ht="17" x14ac:dyDescent="0.2">
      <c r="A15" s="22" t="s">
        <v>82</v>
      </c>
      <c r="B15" s="9" t="s">
        <v>83</v>
      </c>
      <c r="C15" s="9" t="s">
        <v>84</v>
      </c>
      <c r="D15" s="9" t="s">
        <v>61</v>
      </c>
      <c r="E15" s="10">
        <v>45964</v>
      </c>
      <c r="F15" s="10">
        <v>46475</v>
      </c>
      <c r="G15" s="11">
        <v>395000</v>
      </c>
      <c r="H15" s="23" t="s">
        <v>72</v>
      </c>
      <c r="K15" s="35"/>
    </row>
    <row r="16" spans="1:11" ht="17" x14ac:dyDescent="0.2">
      <c r="A16" s="22" t="s">
        <v>85</v>
      </c>
      <c r="B16" s="9" t="s">
        <v>86</v>
      </c>
      <c r="C16" s="9" t="s">
        <v>71</v>
      </c>
      <c r="D16" s="9" t="s">
        <v>46</v>
      </c>
      <c r="E16" s="10">
        <v>45946</v>
      </c>
      <c r="F16" s="10">
        <v>46362</v>
      </c>
      <c r="G16" s="11">
        <v>550000</v>
      </c>
      <c r="H16" s="23" t="s">
        <v>47</v>
      </c>
      <c r="K16" s="35"/>
    </row>
    <row r="17" spans="1:11" ht="17" x14ac:dyDescent="0.2">
      <c r="A17" s="22" t="s">
        <v>87</v>
      </c>
      <c r="B17" s="9" t="s">
        <v>88</v>
      </c>
      <c r="C17" s="9" t="s">
        <v>53</v>
      </c>
      <c r="D17" s="9" t="s">
        <v>46</v>
      </c>
      <c r="E17" s="10">
        <v>45793</v>
      </c>
      <c r="F17" s="10">
        <v>46269</v>
      </c>
      <c r="G17" s="11">
        <v>465000</v>
      </c>
      <c r="H17" s="23" t="s">
        <v>72</v>
      </c>
      <c r="K17" s="35"/>
    </row>
    <row r="18" spans="1:11" ht="17" x14ac:dyDescent="0.2">
      <c r="A18" s="22" t="s">
        <v>89</v>
      </c>
      <c r="B18" s="9" t="s">
        <v>90</v>
      </c>
      <c r="C18" s="9" t="s">
        <v>71</v>
      </c>
      <c r="D18" s="9" t="s">
        <v>61</v>
      </c>
      <c r="E18" s="10">
        <v>45980</v>
      </c>
      <c r="F18" s="10">
        <v>46448</v>
      </c>
      <c r="G18" s="11">
        <v>565000</v>
      </c>
      <c r="H18" s="23" t="s">
        <v>62</v>
      </c>
      <c r="K18" s="35"/>
    </row>
    <row r="19" spans="1:11" ht="17" x14ac:dyDescent="0.2">
      <c r="A19" s="22" t="s">
        <v>91</v>
      </c>
      <c r="B19" s="9" t="s">
        <v>92</v>
      </c>
      <c r="C19" s="9" t="s">
        <v>84</v>
      </c>
      <c r="D19" s="9" t="s">
        <v>66</v>
      </c>
      <c r="E19" s="10">
        <v>45973</v>
      </c>
      <c r="F19" s="10">
        <v>46104</v>
      </c>
      <c r="G19" s="11">
        <v>335000</v>
      </c>
      <c r="H19" s="23" t="s">
        <v>47</v>
      </c>
      <c r="K19" s="35"/>
    </row>
    <row r="20" spans="1:11" ht="17" x14ac:dyDescent="0.2">
      <c r="A20" s="22" t="s">
        <v>93</v>
      </c>
      <c r="B20" s="9" t="s">
        <v>94</v>
      </c>
      <c r="C20" s="9" t="s">
        <v>65</v>
      </c>
      <c r="D20" s="9" t="s">
        <v>66</v>
      </c>
      <c r="E20" s="10">
        <v>45871</v>
      </c>
      <c r="F20" s="10">
        <v>46102</v>
      </c>
      <c r="G20" s="11">
        <v>530000</v>
      </c>
      <c r="H20" s="23" t="s">
        <v>75</v>
      </c>
      <c r="K20" s="35"/>
    </row>
    <row r="21" spans="1:11" ht="17" x14ac:dyDescent="0.2">
      <c r="A21" s="22" t="s">
        <v>95</v>
      </c>
      <c r="B21" s="9" t="s">
        <v>96</v>
      </c>
      <c r="C21" s="9" t="s">
        <v>60</v>
      </c>
      <c r="D21" s="9" t="s">
        <v>54</v>
      </c>
      <c r="E21" s="10">
        <v>45851</v>
      </c>
      <c r="F21" s="10">
        <v>46225</v>
      </c>
      <c r="G21" s="11">
        <v>90000</v>
      </c>
      <c r="H21" s="23" t="s">
        <v>62</v>
      </c>
      <c r="K21" s="35"/>
    </row>
    <row r="22" spans="1:11" ht="17" x14ac:dyDescent="0.2">
      <c r="A22" s="22" t="s">
        <v>97</v>
      </c>
      <c r="B22" s="9" t="s">
        <v>98</v>
      </c>
      <c r="C22" s="9" t="s">
        <v>99</v>
      </c>
      <c r="D22" s="9" t="s">
        <v>61</v>
      </c>
      <c r="E22" s="10">
        <v>45909</v>
      </c>
      <c r="F22" s="10">
        <v>46099</v>
      </c>
      <c r="G22" s="11">
        <v>560000</v>
      </c>
      <c r="H22" s="23" t="s">
        <v>62</v>
      </c>
      <c r="K22" s="35"/>
    </row>
    <row r="23" spans="1:11" ht="17" x14ac:dyDescent="0.2">
      <c r="A23" s="22" t="s">
        <v>100</v>
      </c>
      <c r="B23" s="9" t="s">
        <v>101</v>
      </c>
      <c r="C23" s="9" t="s">
        <v>60</v>
      </c>
      <c r="D23" s="9" t="s">
        <v>46</v>
      </c>
      <c r="E23" s="10">
        <v>45830</v>
      </c>
      <c r="F23" s="10">
        <v>46144</v>
      </c>
      <c r="G23" s="11">
        <v>185000</v>
      </c>
      <c r="H23" s="23" t="s">
        <v>75</v>
      </c>
      <c r="K23" s="35"/>
    </row>
    <row r="24" spans="1:11" ht="17" x14ac:dyDescent="0.2">
      <c r="A24" s="22" t="s">
        <v>102</v>
      </c>
      <c r="B24" s="9" t="s">
        <v>103</v>
      </c>
      <c r="C24" s="9" t="s">
        <v>45</v>
      </c>
      <c r="D24" s="9" t="s">
        <v>54</v>
      </c>
      <c r="E24" s="10">
        <v>45724</v>
      </c>
      <c r="F24" s="10">
        <v>46181</v>
      </c>
      <c r="G24" s="11">
        <v>185000</v>
      </c>
      <c r="H24" s="23" t="s">
        <v>75</v>
      </c>
      <c r="K24" s="35"/>
    </row>
    <row r="25" spans="1:11" ht="17" x14ac:dyDescent="0.2">
      <c r="A25" s="22" t="s">
        <v>104</v>
      </c>
      <c r="B25" s="9" t="s">
        <v>105</v>
      </c>
      <c r="C25" s="9" t="s">
        <v>99</v>
      </c>
      <c r="D25" s="9" t="s">
        <v>61</v>
      </c>
      <c r="E25" s="10">
        <v>45787</v>
      </c>
      <c r="F25" s="10">
        <v>45909</v>
      </c>
      <c r="G25" s="11">
        <v>130000</v>
      </c>
      <c r="H25" s="23" t="s">
        <v>72</v>
      </c>
      <c r="K25" s="35"/>
    </row>
    <row r="26" spans="1:11" ht="17" x14ac:dyDescent="0.2">
      <c r="A26" s="25" t="s">
        <v>106</v>
      </c>
      <c r="B26" s="26" t="s">
        <v>107</v>
      </c>
      <c r="C26" s="26" t="s">
        <v>45</v>
      </c>
      <c r="D26" s="26" t="s">
        <v>54</v>
      </c>
      <c r="E26" s="27">
        <v>45739</v>
      </c>
      <c r="F26" s="27">
        <v>46122</v>
      </c>
      <c r="G26" s="28">
        <v>435000</v>
      </c>
      <c r="H26" s="29" t="s">
        <v>62</v>
      </c>
      <c r="K26" s="35"/>
    </row>
    <row r="40" spans="2:2" x14ac:dyDescent="0.2">
      <c r="B40" t="s">
        <v>27</v>
      </c>
    </row>
  </sheetData>
  <phoneticPr fontId="13" type="noConversion"/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{4C176B64-DF20-794F-997F-902D048F5906}</x14:id>
        </ext>
      </extLst>
    </cfRule>
  </conditionalFormatting>
  <dataValidations count="1">
    <dataValidation type="list" allowBlank="1" showInputMessage="1" showErrorMessage="1" sqref="H2:H27" xr:uid="{C833255C-394D-054A-B4BE-D105FAA053E5}">
      <formula1>"Green,Amber,Red,Complete"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176B64-DF20-794F-997F-902D048F5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0302-579E-C243-AD9B-4A81E4A0CCE3}">
  <dimension ref="A3:G9"/>
  <sheetViews>
    <sheetView zoomScale="125" workbookViewId="0">
      <selection activeCell="K13" sqref="K13"/>
    </sheetView>
  </sheetViews>
  <sheetFormatPr baseColWidth="10" defaultRowHeight="15" x14ac:dyDescent="0.2"/>
  <cols>
    <col min="1" max="1" width="15.1640625" bestFit="1" customWidth="1"/>
    <col min="2" max="2" width="14.83203125" bestFit="1" customWidth="1"/>
    <col min="3" max="3" width="8.6640625" bestFit="1" customWidth="1"/>
    <col min="4" max="6" width="10.1640625" bestFit="1" customWidth="1"/>
    <col min="7" max="7" width="10.33203125" bestFit="1" customWidth="1"/>
  </cols>
  <sheetData>
    <row r="3" spans="1:7" x14ac:dyDescent="0.2">
      <c r="A3" s="39" t="s">
        <v>302</v>
      </c>
      <c r="B3" s="39" t="s">
        <v>303</v>
      </c>
    </row>
    <row r="4" spans="1:7" x14ac:dyDescent="0.2">
      <c r="A4" s="39" t="s">
        <v>300</v>
      </c>
      <c r="B4" t="s">
        <v>75</v>
      </c>
      <c r="C4" t="s">
        <v>57</v>
      </c>
      <c r="D4" t="s">
        <v>62</v>
      </c>
      <c r="E4" t="s">
        <v>47</v>
      </c>
      <c r="F4" t="s">
        <v>72</v>
      </c>
      <c r="G4" t="s">
        <v>301</v>
      </c>
    </row>
    <row r="5" spans="1:7" x14ac:dyDescent="0.2">
      <c r="A5" s="40" t="s">
        <v>54</v>
      </c>
      <c r="B5" s="43">
        <v>185000</v>
      </c>
      <c r="C5" s="43">
        <v>440000</v>
      </c>
      <c r="D5" s="43">
        <v>525000</v>
      </c>
      <c r="E5" s="43">
        <v>325000</v>
      </c>
      <c r="F5" s="43">
        <v>260000</v>
      </c>
      <c r="G5" s="43">
        <v>1735000</v>
      </c>
    </row>
    <row r="6" spans="1:7" x14ac:dyDescent="0.2">
      <c r="A6" s="40" t="s">
        <v>66</v>
      </c>
      <c r="B6" s="43">
        <v>1070000</v>
      </c>
      <c r="C6" s="43"/>
      <c r="D6" s="43"/>
      <c r="E6" s="43">
        <v>740000</v>
      </c>
      <c r="F6" s="43"/>
      <c r="G6" s="43">
        <v>1810000</v>
      </c>
    </row>
    <row r="7" spans="1:7" x14ac:dyDescent="0.2">
      <c r="A7" s="40" t="s">
        <v>46</v>
      </c>
      <c r="B7" s="43">
        <v>185000</v>
      </c>
      <c r="C7" s="43"/>
      <c r="D7" s="43">
        <v>425000</v>
      </c>
      <c r="E7" s="43">
        <v>1525000</v>
      </c>
      <c r="F7" s="43">
        <v>465000</v>
      </c>
      <c r="G7" s="43">
        <v>2600000</v>
      </c>
    </row>
    <row r="8" spans="1:7" x14ac:dyDescent="0.2">
      <c r="A8" s="40" t="s">
        <v>61</v>
      </c>
      <c r="B8" s="43"/>
      <c r="C8" s="43"/>
      <c r="D8" s="43">
        <v>1710000</v>
      </c>
      <c r="E8" s="43"/>
      <c r="F8" s="43">
        <v>525000</v>
      </c>
      <c r="G8" s="43">
        <v>2235000</v>
      </c>
    </row>
    <row r="9" spans="1:7" x14ac:dyDescent="0.2">
      <c r="A9" s="40" t="s">
        <v>301</v>
      </c>
      <c r="B9" s="43">
        <v>1440000</v>
      </c>
      <c r="C9" s="43">
        <v>440000</v>
      </c>
      <c r="D9" s="43">
        <v>2660000</v>
      </c>
      <c r="E9" s="43">
        <v>2590000</v>
      </c>
      <c r="F9" s="43">
        <v>1250000</v>
      </c>
      <c r="G9" s="43">
        <v>8380000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="190" zoomScaleNormal="100" workbookViewId="0">
      <pane ySplit="1" topLeftCell="A2" activePane="bottomLeft" state="frozen"/>
      <selection pane="bottomLeft" activeCell="G9" sqref="G9"/>
    </sheetView>
  </sheetViews>
  <sheetFormatPr baseColWidth="10" defaultColWidth="8.6640625" defaultRowHeight="15" x14ac:dyDescent="0.2"/>
  <cols>
    <col min="1" max="1" width="13" customWidth="1"/>
    <col min="2" max="2" width="34" customWidth="1"/>
    <col min="3" max="3" width="17" customWidth="1"/>
    <col min="4" max="4" width="14" customWidth="1"/>
    <col min="5" max="5" width="16" customWidth="1"/>
    <col min="6" max="6" width="30" customWidth="1"/>
  </cols>
  <sheetData>
    <row r="1" spans="1:6" ht="30" customHeight="1" x14ac:dyDescent="0.2">
      <c r="A1" s="8" t="s">
        <v>108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</row>
    <row r="2" spans="1:6" x14ac:dyDescent="0.2">
      <c r="A2" s="9" t="s">
        <v>114</v>
      </c>
      <c r="B2" s="9" t="s">
        <v>115</v>
      </c>
      <c r="C2" s="11">
        <v>190000</v>
      </c>
      <c r="D2" s="11">
        <v>169000</v>
      </c>
      <c r="E2" s="11">
        <v>105000</v>
      </c>
      <c r="F2" s="12" t="str">
        <f>LOWER(TRIM(B2))</f>
        <v>records digitisation</v>
      </c>
    </row>
    <row r="3" spans="1:6" x14ac:dyDescent="0.2">
      <c r="A3" s="9" t="s">
        <v>116</v>
      </c>
      <c r="B3" s="9" t="s">
        <v>117</v>
      </c>
      <c r="C3" s="11">
        <v>335000</v>
      </c>
      <c r="D3" s="11">
        <v>399000</v>
      </c>
      <c r="E3" s="11">
        <v>321000</v>
      </c>
      <c r="F3" s="12" t="str">
        <f t="shared" ref="F3:F23" si="0">LOWER(TRIM(B3))</f>
        <v>contract management platform</v>
      </c>
    </row>
    <row r="4" spans="1:6" x14ac:dyDescent="0.2">
      <c r="A4" s="9" t="s">
        <v>118</v>
      </c>
      <c r="B4" s="9" t="s">
        <v>119</v>
      </c>
      <c r="C4" s="11">
        <v>535000</v>
      </c>
      <c r="D4" s="11">
        <v>626000</v>
      </c>
      <c r="E4" s="11">
        <v>457000</v>
      </c>
      <c r="F4" s="12" t="str">
        <f t="shared" si="0"/>
        <v>cloud email migration</v>
      </c>
    </row>
    <row r="5" spans="1:6" x14ac:dyDescent="0.2">
      <c r="A5" s="9" t="s">
        <v>120</v>
      </c>
      <c r="B5" s="9" t="s">
        <v>121</v>
      </c>
      <c r="C5" s="11">
        <v>465000</v>
      </c>
      <c r="D5" s="11">
        <v>429000</v>
      </c>
      <c r="E5" s="11">
        <v>372000</v>
      </c>
      <c r="F5" s="12" t="str">
        <f t="shared" si="0"/>
        <v>website accessibility fixes</v>
      </c>
    </row>
    <row r="6" spans="1:6" x14ac:dyDescent="0.2">
      <c r="A6" s="9" t="s">
        <v>122</v>
      </c>
      <c r="B6" s="9" t="s">
        <v>123</v>
      </c>
      <c r="C6" s="11">
        <v>160000</v>
      </c>
      <c r="D6" s="11">
        <v>172000</v>
      </c>
      <c r="E6" s="11">
        <v>149000</v>
      </c>
      <c r="F6" s="12" t="str">
        <f t="shared" si="0"/>
        <v>mobile inspections app</v>
      </c>
    </row>
    <row r="7" spans="1:6" x14ac:dyDescent="0.2">
      <c r="A7" s="9" t="s">
        <v>124</v>
      </c>
      <c r="B7" s="9" t="s">
        <v>125</v>
      </c>
      <c r="C7" s="11">
        <v>345000</v>
      </c>
      <c r="D7" s="11">
        <v>301000</v>
      </c>
      <c r="E7" s="11">
        <v>104000</v>
      </c>
      <c r="F7" s="12" t="str">
        <f t="shared" si="0"/>
        <v>payroll system replacement</v>
      </c>
    </row>
    <row r="8" spans="1:6" x14ac:dyDescent="0.2">
      <c r="A8" s="9" t="s">
        <v>126</v>
      </c>
      <c r="B8" s="9" t="s">
        <v>127</v>
      </c>
      <c r="C8" s="11">
        <v>185000</v>
      </c>
      <c r="D8" s="11">
        <v>197000</v>
      </c>
      <c r="E8" s="11">
        <v>148000</v>
      </c>
      <c r="F8" s="12" t="str">
        <f t="shared" si="0"/>
        <v>document management upgrade</v>
      </c>
    </row>
    <row r="9" spans="1:6" x14ac:dyDescent="0.2">
      <c r="A9" s="9" t="s">
        <v>128</v>
      </c>
      <c r="B9" s="9" t="s">
        <v>129</v>
      </c>
      <c r="C9" s="11">
        <v>60000</v>
      </c>
      <c r="D9" s="11">
        <v>52000</v>
      </c>
      <c r="E9" s="11">
        <v>30000</v>
      </c>
      <c r="F9" s="12" t="str">
        <f t="shared" si="0"/>
        <v>parking sensor trial</v>
      </c>
    </row>
    <row r="10" spans="1:6" x14ac:dyDescent="0.2">
      <c r="A10" s="9" t="s">
        <v>130</v>
      </c>
      <c r="B10" s="9" t="s">
        <v>131</v>
      </c>
      <c r="C10" s="11">
        <v>395000</v>
      </c>
      <c r="D10" s="11">
        <v>439000</v>
      </c>
      <c r="E10" s="11">
        <v>315000</v>
      </c>
      <c r="F10" s="12" t="str">
        <f t="shared" si="0"/>
        <v>iam program</v>
      </c>
    </row>
    <row r="11" spans="1:6" x14ac:dyDescent="0.2">
      <c r="A11" s="9" t="s">
        <v>132</v>
      </c>
      <c r="B11" s="9" t="s">
        <v>133</v>
      </c>
      <c r="C11" s="11">
        <v>270000</v>
      </c>
      <c r="D11" s="11">
        <v>264000</v>
      </c>
      <c r="E11" s="11">
        <v>76000</v>
      </c>
      <c r="F11" s="12" t="str">
        <f t="shared" si="0"/>
        <v>grants management system</v>
      </c>
    </row>
    <row r="12" spans="1:6" x14ac:dyDescent="0.2">
      <c r="A12" s="9" t="s">
        <v>134</v>
      </c>
      <c r="B12" s="9" t="s">
        <v>64</v>
      </c>
      <c r="C12" s="11">
        <v>405000</v>
      </c>
      <c r="D12" s="11">
        <v>468000</v>
      </c>
      <c r="E12" s="11">
        <v>295000</v>
      </c>
      <c r="F12" s="12" t="str">
        <f t="shared" si="0"/>
        <v>data warehouse migration</v>
      </c>
    </row>
    <row r="13" spans="1:6" x14ac:dyDescent="0.2">
      <c r="A13" s="9" t="s">
        <v>135</v>
      </c>
      <c r="B13" s="9" t="s">
        <v>136</v>
      </c>
      <c r="C13" s="11">
        <v>135000</v>
      </c>
      <c r="D13" s="11">
        <v>129000</v>
      </c>
      <c r="E13" s="11">
        <v>39000</v>
      </c>
      <c r="F13" s="12" t="str">
        <f t="shared" si="0"/>
        <v>call centre modernisation</v>
      </c>
    </row>
    <row r="14" spans="1:6" x14ac:dyDescent="0.2">
      <c r="A14" s="9" t="s">
        <v>137</v>
      </c>
      <c r="B14" s="9" t="s">
        <v>138</v>
      </c>
      <c r="C14" s="11">
        <v>435000</v>
      </c>
      <c r="D14" s="11">
        <v>482000</v>
      </c>
      <c r="E14" s="11">
        <v>173000</v>
      </c>
      <c r="F14" s="12" t="str">
        <f t="shared" si="0"/>
        <v>council livestreaming</v>
      </c>
    </row>
    <row r="15" spans="1:6" x14ac:dyDescent="0.2">
      <c r="A15" s="9" t="s">
        <v>139</v>
      </c>
      <c r="B15" s="9" t="s">
        <v>56</v>
      </c>
      <c r="C15" s="11">
        <v>440000</v>
      </c>
      <c r="D15" s="11">
        <v>374000</v>
      </c>
      <c r="E15" s="11">
        <v>114000</v>
      </c>
      <c r="F15" s="12" t="str">
        <f t="shared" si="0"/>
        <v>cyber security uplift</v>
      </c>
    </row>
    <row r="16" spans="1:6" x14ac:dyDescent="0.2">
      <c r="A16" s="9" t="s">
        <v>140</v>
      </c>
      <c r="B16" s="9" t="s">
        <v>59</v>
      </c>
      <c r="C16" s="11">
        <v>585000</v>
      </c>
      <c r="D16" s="11">
        <v>692000</v>
      </c>
      <c r="E16" s="11">
        <v>436000</v>
      </c>
      <c r="F16" s="12" t="str">
        <f t="shared" si="0"/>
        <v>fleet telematics rollout</v>
      </c>
    </row>
    <row r="17" spans="1:6" x14ac:dyDescent="0.2">
      <c r="A17" s="9" t="s">
        <v>141</v>
      </c>
      <c r="B17" s="9" t="s">
        <v>142</v>
      </c>
      <c r="C17" s="11">
        <v>95000</v>
      </c>
      <c r="D17" s="11">
        <v>98000</v>
      </c>
      <c r="E17" s="11">
        <v>41000</v>
      </c>
      <c r="F17" s="12" t="str">
        <f t="shared" si="0"/>
        <v>library self-checkout kiosks</v>
      </c>
    </row>
    <row r="18" spans="1:6" x14ac:dyDescent="0.2">
      <c r="A18" s="9" t="s">
        <v>143</v>
      </c>
      <c r="B18" s="9" t="s">
        <v>144</v>
      </c>
      <c r="C18" s="11">
        <v>90000</v>
      </c>
      <c r="D18" s="11">
        <v>108000</v>
      </c>
      <c r="E18" s="11">
        <v>57000</v>
      </c>
      <c r="F18" s="12" t="str">
        <f t="shared" si="0"/>
        <v>asset register cleanup</v>
      </c>
    </row>
    <row r="19" spans="1:6" x14ac:dyDescent="0.2">
      <c r="A19" s="9" t="s">
        <v>145</v>
      </c>
      <c r="B19" s="9" t="s">
        <v>146</v>
      </c>
      <c r="C19" s="11">
        <v>185000</v>
      </c>
      <c r="D19" s="11">
        <v>209000</v>
      </c>
      <c r="E19" s="11">
        <v>162000</v>
      </c>
      <c r="F19" s="12" t="str">
        <f t="shared" si="0"/>
        <v>data governance framework</v>
      </c>
    </row>
    <row r="20" spans="1:6" x14ac:dyDescent="0.2">
      <c r="A20" s="9" t="s">
        <v>147</v>
      </c>
      <c r="B20" s="9" t="s">
        <v>148</v>
      </c>
      <c r="C20" s="11">
        <v>455000</v>
      </c>
      <c r="D20" s="11">
        <v>450000</v>
      </c>
      <c r="E20" s="11">
        <v>123000</v>
      </c>
      <c r="F20" s="12" t="str">
        <f t="shared" si="0"/>
        <v>customer portal upgrade</v>
      </c>
    </row>
    <row r="21" spans="1:6" x14ac:dyDescent="0.2">
      <c r="A21" s="9" t="s">
        <v>149</v>
      </c>
      <c r="B21" s="9" t="s">
        <v>150</v>
      </c>
      <c r="C21" s="11">
        <v>550000</v>
      </c>
      <c r="D21" s="11">
        <v>627000</v>
      </c>
      <c r="E21" s="11">
        <v>196000</v>
      </c>
      <c r="F21" s="12" t="str">
        <f t="shared" si="0"/>
        <v>budget reporting automation</v>
      </c>
    </row>
    <row r="22" spans="1:6" x14ac:dyDescent="0.2">
      <c r="A22" s="9" t="s">
        <v>151</v>
      </c>
      <c r="B22" s="9" t="s">
        <v>152</v>
      </c>
      <c r="C22" s="11">
        <v>530000</v>
      </c>
      <c r="D22" s="11">
        <v>547000</v>
      </c>
      <c r="E22" s="11">
        <v>457000</v>
      </c>
      <c r="F22" s="12" t="str">
        <f t="shared" si="0"/>
        <v>service desk replacement</v>
      </c>
    </row>
    <row r="23" spans="1:6" x14ac:dyDescent="0.2">
      <c r="A23" s="9" t="s">
        <v>153</v>
      </c>
      <c r="B23" s="9" t="s">
        <v>154</v>
      </c>
      <c r="C23" s="11">
        <v>530000</v>
      </c>
      <c r="D23" s="11">
        <v>551000</v>
      </c>
      <c r="E23" s="11">
        <v>304000</v>
      </c>
      <c r="F23" s="12" t="str">
        <f t="shared" si="0"/>
        <v>procurement portal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E1FF-0263-E645-A1A0-5EA298FD24CE}">
  <dimension ref="A3:E17"/>
  <sheetViews>
    <sheetView zoomScale="143" workbookViewId="0">
      <selection activeCell="F27" sqref="F27"/>
    </sheetView>
  </sheetViews>
  <sheetFormatPr baseColWidth="10" defaultRowHeight="15" x14ac:dyDescent="0.2"/>
  <cols>
    <col min="1" max="1" width="13.5" bestFit="1" customWidth="1"/>
    <col min="2" max="2" width="14.83203125" bestFit="1" customWidth="1"/>
    <col min="3" max="3" width="10" bestFit="1" customWidth="1"/>
    <col min="4" max="4" width="5.33203125" bestFit="1" customWidth="1"/>
    <col min="5" max="5" width="10.33203125" bestFit="1" customWidth="1"/>
    <col min="6" max="6" width="14.83203125" bestFit="1" customWidth="1"/>
    <col min="7" max="7" width="17" bestFit="1" customWidth="1"/>
    <col min="8" max="8" width="17.33203125" bestFit="1" customWidth="1"/>
    <col min="9" max="10" width="13" bestFit="1" customWidth="1"/>
    <col min="11" max="11" width="15.1640625" bestFit="1" customWidth="1"/>
    <col min="12" max="12" width="10.6640625" bestFit="1" customWidth="1"/>
    <col min="13" max="13" width="12.83203125" bestFit="1" customWidth="1"/>
    <col min="14" max="15" width="13" bestFit="1" customWidth="1"/>
    <col min="16" max="16" width="15.1640625" bestFit="1" customWidth="1"/>
    <col min="17" max="19" width="12" bestFit="1" customWidth="1"/>
    <col min="20" max="20" width="14.1640625" bestFit="1" customWidth="1"/>
    <col min="21" max="22" width="12.6640625" bestFit="1" customWidth="1"/>
    <col min="23" max="23" width="14.83203125" bestFit="1" customWidth="1"/>
    <col min="24" max="26" width="10" bestFit="1" customWidth="1"/>
    <col min="27" max="27" width="10.5" bestFit="1" customWidth="1"/>
    <col min="28" max="28" width="13" bestFit="1" customWidth="1"/>
    <col min="29" max="29" width="13.6640625" bestFit="1" customWidth="1"/>
    <col min="30" max="32" width="11.83203125" bestFit="1" customWidth="1"/>
    <col min="33" max="33" width="14" bestFit="1" customWidth="1"/>
    <col min="34" max="34" width="13.5" bestFit="1" customWidth="1"/>
    <col min="35" max="35" width="15.6640625" bestFit="1" customWidth="1"/>
    <col min="36" max="37" width="13" bestFit="1" customWidth="1"/>
    <col min="38" max="38" width="15.1640625" bestFit="1" customWidth="1"/>
    <col min="39" max="39" width="10.6640625" bestFit="1" customWidth="1"/>
    <col min="40" max="40" width="12.83203125" bestFit="1" customWidth="1"/>
    <col min="41" max="42" width="13" bestFit="1" customWidth="1"/>
    <col min="43" max="43" width="15.1640625" bestFit="1" customWidth="1"/>
    <col min="44" max="46" width="12" bestFit="1" customWidth="1"/>
    <col min="47" max="47" width="14.1640625" bestFit="1" customWidth="1"/>
    <col min="48" max="49" width="12.6640625" bestFit="1" customWidth="1"/>
    <col min="50" max="50" width="14.83203125" bestFit="1" customWidth="1"/>
    <col min="51" max="53" width="10" bestFit="1" customWidth="1"/>
    <col min="54" max="54" width="10.5" bestFit="1" customWidth="1"/>
    <col min="55" max="55" width="17" bestFit="1" customWidth="1"/>
    <col min="56" max="56" width="17.33203125" bestFit="1" customWidth="1"/>
  </cols>
  <sheetData>
    <row r="3" spans="1:5" x14ac:dyDescent="0.2">
      <c r="A3" s="39" t="s">
        <v>305</v>
      </c>
      <c r="B3" s="39" t="s">
        <v>303</v>
      </c>
    </row>
    <row r="4" spans="1:5" x14ac:dyDescent="0.2">
      <c r="A4" s="39" t="s">
        <v>300</v>
      </c>
      <c r="B4" t="s">
        <v>181</v>
      </c>
      <c r="C4" t="s">
        <v>162</v>
      </c>
      <c r="D4" t="s">
        <v>165</v>
      </c>
      <c r="E4" t="s">
        <v>301</v>
      </c>
    </row>
    <row r="5" spans="1:5" x14ac:dyDescent="0.2">
      <c r="A5" s="40" t="s">
        <v>65</v>
      </c>
      <c r="B5" s="51"/>
      <c r="C5" s="51"/>
      <c r="D5" s="51">
        <v>5</v>
      </c>
      <c r="E5" s="51">
        <v>5</v>
      </c>
    </row>
    <row r="6" spans="1:5" x14ac:dyDescent="0.2">
      <c r="A6" s="40" t="s">
        <v>71</v>
      </c>
      <c r="B6" s="51">
        <v>1</v>
      </c>
      <c r="C6" s="51">
        <v>1</v>
      </c>
      <c r="D6" s="51">
        <v>1</v>
      </c>
      <c r="E6" s="51">
        <v>3</v>
      </c>
    </row>
    <row r="7" spans="1:5" x14ac:dyDescent="0.2">
      <c r="A7" s="40" t="s">
        <v>53</v>
      </c>
      <c r="B7" s="51"/>
      <c r="C7" s="51"/>
      <c r="D7" s="51">
        <v>4</v>
      </c>
      <c r="E7" s="51">
        <v>4</v>
      </c>
    </row>
    <row r="8" spans="1:5" x14ac:dyDescent="0.2">
      <c r="A8" s="40" t="s">
        <v>50</v>
      </c>
      <c r="B8" s="51"/>
      <c r="C8" s="51">
        <v>3</v>
      </c>
      <c r="D8" s="51">
        <v>2</v>
      </c>
      <c r="E8" s="51">
        <v>5</v>
      </c>
    </row>
    <row r="9" spans="1:5" x14ac:dyDescent="0.2">
      <c r="A9" s="40" t="s">
        <v>60</v>
      </c>
      <c r="B9" s="51"/>
      <c r="C9" s="51"/>
      <c r="D9" s="51">
        <v>1</v>
      </c>
      <c r="E9" s="51">
        <v>1</v>
      </c>
    </row>
    <row r="10" spans="1:5" x14ac:dyDescent="0.2">
      <c r="A10" s="40" t="s">
        <v>45</v>
      </c>
      <c r="B10" s="51">
        <v>2</v>
      </c>
      <c r="C10" s="51"/>
      <c r="D10" s="51">
        <v>4</v>
      </c>
      <c r="E10" s="51">
        <v>6</v>
      </c>
    </row>
    <row r="11" spans="1:5" x14ac:dyDescent="0.2">
      <c r="A11" s="40" t="s">
        <v>99</v>
      </c>
      <c r="B11" s="51">
        <v>1</v>
      </c>
      <c r="C11" s="51">
        <v>1</v>
      </c>
      <c r="D11" s="51">
        <v>2</v>
      </c>
      <c r="E11" s="51">
        <v>4</v>
      </c>
    </row>
    <row r="12" spans="1:5" x14ac:dyDescent="0.2">
      <c r="A12" s="40" t="s">
        <v>84</v>
      </c>
      <c r="B12" s="51"/>
      <c r="C12" s="51">
        <v>2</v>
      </c>
      <c r="D12" s="51">
        <v>1</v>
      </c>
      <c r="E12" s="51">
        <v>3</v>
      </c>
    </row>
    <row r="13" spans="1:5" x14ac:dyDescent="0.2">
      <c r="A13" s="40" t="s">
        <v>304</v>
      </c>
      <c r="B13" s="51">
        <v>2</v>
      </c>
      <c r="C13" s="51">
        <v>1</v>
      </c>
      <c r="D13" s="51">
        <v>6</v>
      </c>
      <c r="E13" s="51">
        <v>9</v>
      </c>
    </row>
    <row r="14" spans="1:5" x14ac:dyDescent="0.2">
      <c r="A14" s="40" t="s">
        <v>301</v>
      </c>
      <c r="B14" s="51">
        <v>6</v>
      </c>
      <c r="C14" s="51">
        <v>8</v>
      </c>
      <c r="D14" s="51">
        <v>26</v>
      </c>
      <c r="E14" s="51">
        <v>40</v>
      </c>
    </row>
    <row r="17" spans="1:2" x14ac:dyDescent="0.2">
      <c r="A17" s="42"/>
      <c r="B17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zoomScale="138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3" width="30" customWidth="1"/>
    <col min="4" max="4" width="16" customWidth="1"/>
    <col min="5" max="6" width="11" customWidth="1"/>
    <col min="7" max="8" width="12" customWidth="1"/>
  </cols>
  <sheetData>
    <row r="1" spans="1:8" ht="30" customHeight="1" x14ac:dyDescent="0.2">
      <c r="A1" s="8" t="s">
        <v>155</v>
      </c>
      <c r="B1" s="8" t="s">
        <v>35</v>
      </c>
      <c r="C1" s="8" t="s">
        <v>156</v>
      </c>
      <c r="D1" s="8" t="s">
        <v>37</v>
      </c>
      <c r="E1" s="8" t="s">
        <v>157</v>
      </c>
      <c r="F1" s="8" t="s">
        <v>158</v>
      </c>
      <c r="G1" s="8" t="s">
        <v>159</v>
      </c>
      <c r="H1" s="8" t="s">
        <v>42</v>
      </c>
    </row>
    <row r="2" spans="1:8" x14ac:dyDescent="0.2">
      <c r="A2" s="9" t="s">
        <v>160</v>
      </c>
      <c r="B2" s="9" t="s">
        <v>76</v>
      </c>
      <c r="C2" s="9" t="s">
        <v>161</v>
      </c>
      <c r="D2" s="9" t="s">
        <v>71</v>
      </c>
      <c r="E2" s="9">
        <v>5</v>
      </c>
      <c r="F2" s="9">
        <v>5</v>
      </c>
      <c r="G2" s="10">
        <v>46357</v>
      </c>
      <c r="H2" s="9" t="s">
        <v>162</v>
      </c>
    </row>
    <row r="3" spans="1:8" x14ac:dyDescent="0.2">
      <c r="A3" s="9" t="s">
        <v>163</v>
      </c>
      <c r="B3" s="9" t="s">
        <v>97</v>
      </c>
      <c r="C3" s="9" t="s">
        <v>164</v>
      </c>
      <c r="D3" s="9" t="s">
        <v>53</v>
      </c>
      <c r="E3" s="9">
        <v>1</v>
      </c>
      <c r="F3" s="9">
        <v>4</v>
      </c>
      <c r="G3" s="10">
        <v>46379</v>
      </c>
      <c r="H3" s="9" t="s">
        <v>165</v>
      </c>
    </row>
    <row r="4" spans="1:8" x14ac:dyDescent="0.2">
      <c r="A4" s="9" t="s">
        <v>166</v>
      </c>
      <c r="B4" s="9" t="s">
        <v>87</v>
      </c>
      <c r="C4" s="9" t="s">
        <v>167</v>
      </c>
      <c r="D4" s="9" t="s">
        <v>99</v>
      </c>
      <c r="E4" s="9">
        <v>3</v>
      </c>
      <c r="F4" s="9">
        <v>1</v>
      </c>
      <c r="G4" s="10">
        <v>46380</v>
      </c>
      <c r="H4" s="9" t="s">
        <v>162</v>
      </c>
    </row>
    <row r="5" spans="1:8" x14ac:dyDescent="0.2">
      <c r="A5" s="9" t="s">
        <v>168</v>
      </c>
      <c r="B5" s="9" t="s">
        <v>85</v>
      </c>
      <c r="C5" s="9" t="s">
        <v>169</v>
      </c>
      <c r="D5" s="9" t="s">
        <v>53</v>
      </c>
      <c r="E5" s="9">
        <v>2</v>
      </c>
      <c r="F5" s="9">
        <v>2</v>
      </c>
      <c r="G5" s="10">
        <v>46204</v>
      </c>
      <c r="H5" s="9" t="s">
        <v>165</v>
      </c>
    </row>
    <row r="6" spans="1:8" x14ac:dyDescent="0.2">
      <c r="A6" s="9" t="s">
        <v>170</v>
      </c>
      <c r="B6" s="9" t="s">
        <v>93</v>
      </c>
      <c r="C6" s="9" t="s">
        <v>171</v>
      </c>
      <c r="D6" s="9" t="s">
        <v>60</v>
      </c>
      <c r="E6" s="9">
        <v>5</v>
      </c>
      <c r="F6" s="9">
        <v>5</v>
      </c>
      <c r="G6" s="10">
        <v>46287</v>
      </c>
      <c r="H6" s="9" t="s">
        <v>165</v>
      </c>
    </row>
    <row r="7" spans="1:8" x14ac:dyDescent="0.2">
      <c r="A7" s="9" t="s">
        <v>172</v>
      </c>
      <c r="B7" s="9" t="s">
        <v>173</v>
      </c>
      <c r="C7" s="9" t="s">
        <v>174</v>
      </c>
      <c r="D7" s="9"/>
      <c r="E7" s="9">
        <v>2</v>
      </c>
      <c r="F7" s="9">
        <v>1</v>
      </c>
      <c r="G7" s="10">
        <v>46199</v>
      </c>
      <c r="H7" s="9" t="s">
        <v>165</v>
      </c>
    </row>
    <row r="8" spans="1:8" x14ac:dyDescent="0.2">
      <c r="A8" s="9" t="s">
        <v>175</v>
      </c>
      <c r="B8" s="9" t="s">
        <v>89</v>
      </c>
      <c r="C8" s="9" t="s">
        <v>167</v>
      </c>
      <c r="D8" s="9" t="s">
        <v>99</v>
      </c>
      <c r="E8" s="9">
        <v>2</v>
      </c>
      <c r="F8" s="9">
        <v>2</v>
      </c>
      <c r="G8" s="10">
        <v>46182</v>
      </c>
      <c r="H8" s="9" t="s">
        <v>165</v>
      </c>
    </row>
    <row r="9" spans="1:8" x14ac:dyDescent="0.2">
      <c r="A9" s="9" t="s">
        <v>176</v>
      </c>
      <c r="B9" s="9" t="s">
        <v>73</v>
      </c>
      <c r="C9" s="9" t="s">
        <v>174</v>
      </c>
      <c r="D9" s="9" t="s">
        <v>50</v>
      </c>
      <c r="E9" s="9">
        <v>5</v>
      </c>
      <c r="F9" s="9">
        <v>3</v>
      </c>
      <c r="G9" s="10">
        <v>46252</v>
      </c>
      <c r="H9" s="9" t="s">
        <v>162</v>
      </c>
    </row>
    <row r="10" spans="1:8" x14ac:dyDescent="0.2">
      <c r="A10" s="9" t="s">
        <v>177</v>
      </c>
      <c r="B10" s="9" t="s">
        <v>58</v>
      </c>
      <c r="C10" s="9" t="s">
        <v>178</v>
      </c>
      <c r="D10" s="9" t="s">
        <v>84</v>
      </c>
      <c r="E10" s="9">
        <v>4</v>
      </c>
      <c r="F10" s="9">
        <v>5</v>
      </c>
      <c r="G10" s="10">
        <v>46373</v>
      </c>
      <c r="H10" s="9" t="s">
        <v>162</v>
      </c>
    </row>
    <row r="11" spans="1:8" x14ac:dyDescent="0.2">
      <c r="A11" s="9" t="s">
        <v>179</v>
      </c>
      <c r="B11" s="9" t="s">
        <v>89</v>
      </c>
      <c r="C11" s="9" t="s">
        <v>167</v>
      </c>
      <c r="D11" s="9"/>
      <c r="E11" s="9">
        <v>2</v>
      </c>
      <c r="F11" s="9">
        <v>5</v>
      </c>
      <c r="G11" s="10">
        <v>46296</v>
      </c>
      <c r="H11" s="9" t="s">
        <v>162</v>
      </c>
    </row>
    <row r="12" spans="1:8" x14ac:dyDescent="0.2">
      <c r="A12" s="9" t="s">
        <v>180</v>
      </c>
      <c r="B12" s="9" t="s">
        <v>106</v>
      </c>
      <c r="C12" s="9" t="s">
        <v>167</v>
      </c>
      <c r="D12" s="9" t="s">
        <v>45</v>
      </c>
      <c r="E12" s="9">
        <v>2</v>
      </c>
      <c r="F12" s="9">
        <v>2</v>
      </c>
      <c r="G12" s="10">
        <v>46219</v>
      </c>
      <c r="H12" s="9" t="s">
        <v>181</v>
      </c>
    </row>
    <row r="13" spans="1:8" x14ac:dyDescent="0.2">
      <c r="A13" s="9" t="s">
        <v>182</v>
      </c>
      <c r="B13" s="9" t="s">
        <v>104</v>
      </c>
      <c r="C13" s="9" t="s">
        <v>183</v>
      </c>
      <c r="D13" s="9"/>
      <c r="E13" s="9">
        <v>1</v>
      </c>
      <c r="F13" s="9">
        <v>3</v>
      </c>
      <c r="G13" s="10">
        <v>46343</v>
      </c>
      <c r="H13" s="9" t="s">
        <v>181</v>
      </c>
    </row>
    <row r="14" spans="1:8" x14ac:dyDescent="0.2">
      <c r="A14" s="9" t="s">
        <v>184</v>
      </c>
      <c r="B14" s="9" t="s">
        <v>91</v>
      </c>
      <c r="C14" s="9" t="s">
        <v>171</v>
      </c>
      <c r="D14" s="9" t="s">
        <v>53</v>
      </c>
      <c r="E14" s="9">
        <v>5</v>
      </c>
      <c r="F14" s="9">
        <v>1</v>
      </c>
      <c r="G14" s="10">
        <v>46210</v>
      </c>
      <c r="H14" s="9" t="s">
        <v>165</v>
      </c>
    </row>
    <row r="15" spans="1:8" x14ac:dyDescent="0.2">
      <c r="A15" s="9" t="s">
        <v>185</v>
      </c>
      <c r="B15" s="9" t="s">
        <v>48</v>
      </c>
      <c r="C15" s="9" t="s">
        <v>183</v>
      </c>
      <c r="D15" s="9"/>
      <c r="E15" s="9">
        <v>4</v>
      </c>
      <c r="F15" s="9">
        <v>5</v>
      </c>
      <c r="G15" s="10">
        <v>46198</v>
      </c>
      <c r="H15" s="9" t="s">
        <v>165</v>
      </c>
    </row>
    <row r="16" spans="1:8" x14ac:dyDescent="0.2">
      <c r="A16" s="9" t="s">
        <v>186</v>
      </c>
      <c r="B16" s="9" t="s">
        <v>85</v>
      </c>
      <c r="C16" s="9" t="s">
        <v>164</v>
      </c>
      <c r="D16" s="9"/>
      <c r="E16" s="9">
        <v>5</v>
      </c>
      <c r="F16" s="9">
        <v>5</v>
      </c>
      <c r="G16" s="10">
        <v>46226</v>
      </c>
      <c r="H16" s="9" t="s">
        <v>165</v>
      </c>
    </row>
    <row r="17" spans="1:8" x14ac:dyDescent="0.2">
      <c r="A17" s="9" t="s">
        <v>187</v>
      </c>
      <c r="B17" s="9" t="s">
        <v>85</v>
      </c>
      <c r="C17" s="9" t="s">
        <v>174</v>
      </c>
      <c r="D17" s="9"/>
      <c r="E17" s="9">
        <v>4</v>
      </c>
      <c r="F17" s="9">
        <v>5</v>
      </c>
      <c r="G17" s="10">
        <v>46226</v>
      </c>
      <c r="H17" s="9" t="s">
        <v>181</v>
      </c>
    </row>
    <row r="18" spans="1:8" x14ac:dyDescent="0.2">
      <c r="A18" s="9" t="s">
        <v>188</v>
      </c>
      <c r="B18" s="9" t="s">
        <v>73</v>
      </c>
      <c r="C18" s="9" t="s">
        <v>174</v>
      </c>
      <c r="D18" s="9" t="s">
        <v>50</v>
      </c>
      <c r="E18" s="9">
        <v>4</v>
      </c>
      <c r="F18" s="9">
        <v>2</v>
      </c>
      <c r="G18" s="10">
        <v>46269</v>
      </c>
      <c r="H18" s="9" t="s">
        <v>162</v>
      </c>
    </row>
    <row r="19" spans="1:8" x14ac:dyDescent="0.2">
      <c r="A19" s="9" t="s">
        <v>189</v>
      </c>
      <c r="B19" s="9" t="s">
        <v>85</v>
      </c>
      <c r="C19" s="9" t="s">
        <v>164</v>
      </c>
      <c r="D19" s="9" t="s">
        <v>53</v>
      </c>
      <c r="E19" s="9">
        <v>2</v>
      </c>
      <c r="F19" s="9">
        <v>4</v>
      </c>
      <c r="G19" s="10">
        <v>46180</v>
      </c>
      <c r="H19" s="9" t="s">
        <v>165</v>
      </c>
    </row>
    <row r="20" spans="1:8" x14ac:dyDescent="0.2">
      <c r="A20" s="9" t="s">
        <v>190</v>
      </c>
      <c r="B20" s="9" t="s">
        <v>55</v>
      </c>
      <c r="C20" s="9" t="s">
        <v>167</v>
      </c>
      <c r="D20" s="9" t="s">
        <v>84</v>
      </c>
      <c r="E20" s="9">
        <v>2</v>
      </c>
      <c r="F20" s="9">
        <v>3</v>
      </c>
      <c r="G20" s="10">
        <v>46218</v>
      </c>
      <c r="H20" s="9" t="s">
        <v>165</v>
      </c>
    </row>
    <row r="21" spans="1:8" x14ac:dyDescent="0.2">
      <c r="A21" s="9" t="s">
        <v>191</v>
      </c>
      <c r="B21" s="9" t="s">
        <v>104</v>
      </c>
      <c r="C21" s="9" t="s">
        <v>183</v>
      </c>
      <c r="D21" s="9" t="s">
        <v>99</v>
      </c>
      <c r="E21" s="9">
        <v>4</v>
      </c>
      <c r="F21" s="9">
        <v>2</v>
      </c>
      <c r="G21" s="10">
        <v>46353</v>
      </c>
      <c r="H21" s="9" t="s">
        <v>165</v>
      </c>
    </row>
    <row r="22" spans="1:8" x14ac:dyDescent="0.2">
      <c r="A22" s="9" t="s">
        <v>192</v>
      </c>
      <c r="B22" s="9" t="s">
        <v>63</v>
      </c>
      <c r="C22" s="9" t="s">
        <v>169</v>
      </c>
      <c r="D22" s="9"/>
      <c r="E22" s="9">
        <v>4</v>
      </c>
      <c r="F22" s="9">
        <v>3</v>
      </c>
      <c r="G22" s="10">
        <v>46272</v>
      </c>
      <c r="H22" s="9" t="s">
        <v>165</v>
      </c>
    </row>
    <row r="23" spans="1:8" x14ac:dyDescent="0.2">
      <c r="A23" s="9" t="s">
        <v>193</v>
      </c>
      <c r="B23" s="9" t="s">
        <v>76</v>
      </c>
      <c r="C23" s="9" t="s">
        <v>183</v>
      </c>
      <c r="D23" s="9" t="s">
        <v>84</v>
      </c>
      <c r="E23" s="9">
        <v>1</v>
      </c>
      <c r="F23" s="9">
        <v>3</v>
      </c>
      <c r="G23" s="10">
        <v>46310</v>
      </c>
      <c r="H23" s="9" t="s">
        <v>162</v>
      </c>
    </row>
    <row r="24" spans="1:8" x14ac:dyDescent="0.2">
      <c r="A24" s="9" t="s">
        <v>194</v>
      </c>
      <c r="B24" s="9" t="s">
        <v>195</v>
      </c>
      <c r="C24" s="9" t="s">
        <v>178</v>
      </c>
      <c r="D24" s="9" t="s">
        <v>99</v>
      </c>
      <c r="E24" s="9">
        <v>3</v>
      </c>
      <c r="F24" s="9">
        <v>5</v>
      </c>
      <c r="G24" s="10">
        <v>46305</v>
      </c>
      <c r="H24" s="9" t="s">
        <v>181</v>
      </c>
    </row>
    <row r="25" spans="1:8" x14ac:dyDescent="0.2">
      <c r="A25" s="9" t="s">
        <v>196</v>
      </c>
      <c r="B25" s="9" t="s">
        <v>51</v>
      </c>
      <c r="C25" s="9" t="s">
        <v>183</v>
      </c>
      <c r="D25" s="9" t="s">
        <v>50</v>
      </c>
      <c r="E25" s="9">
        <v>1</v>
      </c>
      <c r="F25" s="9">
        <v>1</v>
      </c>
      <c r="G25" s="10">
        <v>46243</v>
      </c>
      <c r="H25" s="9" t="s">
        <v>165</v>
      </c>
    </row>
    <row r="26" spans="1:8" x14ac:dyDescent="0.2">
      <c r="A26" s="9" t="s">
        <v>197</v>
      </c>
      <c r="B26" s="9" t="s">
        <v>106</v>
      </c>
      <c r="C26" s="9" t="s">
        <v>167</v>
      </c>
      <c r="D26" s="9" t="s">
        <v>65</v>
      </c>
      <c r="E26" s="9">
        <v>2</v>
      </c>
      <c r="F26" s="9">
        <v>4</v>
      </c>
      <c r="G26" s="10">
        <v>46378</v>
      </c>
      <c r="H26" s="9" t="s">
        <v>165</v>
      </c>
    </row>
    <row r="27" spans="1:8" x14ac:dyDescent="0.2">
      <c r="A27" s="9" t="s">
        <v>198</v>
      </c>
      <c r="B27" s="9" t="s">
        <v>80</v>
      </c>
      <c r="C27" s="9" t="s">
        <v>167</v>
      </c>
      <c r="D27" s="9"/>
      <c r="E27" s="9">
        <v>5</v>
      </c>
      <c r="F27" s="9">
        <v>5</v>
      </c>
      <c r="G27" s="10">
        <v>46288</v>
      </c>
      <c r="H27" s="9" t="s">
        <v>165</v>
      </c>
    </row>
    <row r="28" spans="1:8" x14ac:dyDescent="0.2">
      <c r="A28" s="9" t="s">
        <v>199</v>
      </c>
      <c r="B28" s="9" t="s">
        <v>51</v>
      </c>
      <c r="C28" s="9" t="s">
        <v>200</v>
      </c>
      <c r="D28" s="9" t="s">
        <v>45</v>
      </c>
      <c r="E28" s="9">
        <v>2</v>
      </c>
      <c r="F28" s="9">
        <v>4</v>
      </c>
      <c r="G28" s="10">
        <v>46182</v>
      </c>
      <c r="H28" s="9" t="s">
        <v>165</v>
      </c>
    </row>
    <row r="29" spans="1:8" x14ac:dyDescent="0.2">
      <c r="A29" s="9" t="s">
        <v>201</v>
      </c>
      <c r="B29" s="9" t="s">
        <v>97</v>
      </c>
      <c r="C29" s="9" t="s">
        <v>183</v>
      </c>
      <c r="D29" s="9" t="s">
        <v>65</v>
      </c>
      <c r="E29" s="9">
        <v>1</v>
      </c>
      <c r="F29" s="9">
        <v>5</v>
      </c>
      <c r="G29" s="10">
        <v>46364</v>
      </c>
      <c r="H29" s="9" t="s">
        <v>165</v>
      </c>
    </row>
    <row r="30" spans="1:8" x14ac:dyDescent="0.2">
      <c r="A30" s="9" t="s">
        <v>202</v>
      </c>
      <c r="B30" s="9" t="s">
        <v>73</v>
      </c>
      <c r="C30" s="9" t="s">
        <v>183</v>
      </c>
      <c r="D30" s="9" t="s">
        <v>71</v>
      </c>
      <c r="E30" s="9">
        <v>1</v>
      </c>
      <c r="F30" s="9">
        <v>3</v>
      </c>
      <c r="G30" s="10">
        <v>46309</v>
      </c>
      <c r="H30" s="9" t="s">
        <v>165</v>
      </c>
    </row>
    <row r="31" spans="1:8" x14ac:dyDescent="0.2">
      <c r="A31" s="9" t="s">
        <v>203</v>
      </c>
      <c r="B31" s="9" t="s">
        <v>95</v>
      </c>
      <c r="C31" s="9" t="s">
        <v>167</v>
      </c>
      <c r="D31" s="9" t="s">
        <v>45</v>
      </c>
      <c r="E31" s="9">
        <v>5</v>
      </c>
      <c r="F31" s="9">
        <v>2</v>
      </c>
      <c r="G31" s="10">
        <v>46179</v>
      </c>
      <c r="H31" s="9" t="s">
        <v>165</v>
      </c>
    </row>
    <row r="32" spans="1:8" x14ac:dyDescent="0.2">
      <c r="A32" s="9" t="s">
        <v>204</v>
      </c>
      <c r="B32" s="9" t="s">
        <v>48</v>
      </c>
      <c r="C32" s="9" t="s">
        <v>167</v>
      </c>
      <c r="D32" s="9" t="s">
        <v>50</v>
      </c>
      <c r="E32" s="9">
        <v>3</v>
      </c>
      <c r="F32" s="9">
        <v>3</v>
      </c>
      <c r="G32" s="10">
        <v>46320</v>
      </c>
      <c r="H32" s="9" t="s">
        <v>165</v>
      </c>
    </row>
    <row r="33" spans="1:8" x14ac:dyDescent="0.2">
      <c r="A33" s="9" t="s">
        <v>205</v>
      </c>
      <c r="B33" s="9" t="s">
        <v>73</v>
      </c>
      <c r="C33" s="9" t="s">
        <v>171</v>
      </c>
      <c r="D33" s="9"/>
      <c r="E33" s="9">
        <v>2</v>
      </c>
      <c r="F33" s="9">
        <v>3</v>
      </c>
      <c r="G33" s="10">
        <v>46260</v>
      </c>
      <c r="H33" s="9" t="s">
        <v>165</v>
      </c>
    </row>
    <row r="34" spans="1:8" x14ac:dyDescent="0.2">
      <c r="A34" s="9" t="s">
        <v>206</v>
      </c>
      <c r="B34" s="9" t="s">
        <v>73</v>
      </c>
      <c r="C34" s="9" t="s">
        <v>178</v>
      </c>
      <c r="D34" s="9" t="s">
        <v>45</v>
      </c>
      <c r="E34" s="9">
        <v>1</v>
      </c>
      <c r="F34" s="9">
        <v>5</v>
      </c>
      <c r="G34" s="10">
        <v>46302</v>
      </c>
      <c r="H34" s="9" t="s">
        <v>181</v>
      </c>
    </row>
    <row r="35" spans="1:8" x14ac:dyDescent="0.2">
      <c r="A35" s="9" t="s">
        <v>207</v>
      </c>
      <c r="B35" s="9" t="s">
        <v>87</v>
      </c>
      <c r="C35" s="9" t="s">
        <v>161</v>
      </c>
      <c r="D35" s="9" t="s">
        <v>71</v>
      </c>
      <c r="E35" s="9">
        <v>1</v>
      </c>
      <c r="F35" s="9">
        <v>4</v>
      </c>
      <c r="G35" s="10">
        <v>46342</v>
      </c>
      <c r="H35" s="9" t="s">
        <v>181</v>
      </c>
    </row>
    <row r="36" spans="1:8" x14ac:dyDescent="0.2">
      <c r="A36" s="9" t="s">
        <v>208</v>
      </c>
      <c r="B36" s="9" t="s">
        <v>80</v>
      </c>
      <c r="C36" s="9" t="s">
        <v>174</v>
      </c>
      <c r="D36" s="9" t="s">
        <v>65</v>
      </c>
      <c r="E36" s="9">
        <v>2</v>
      </c>
      <c r="F36" s="9">
        <v>2</v>
      </c>
      <c r="G36" s="10">
        <v>46241</v>
      </c>
      <c r="H36" s="9" t="s">
        <v>165</v>
      </c>
    </row>
    <row r="37" spans="1:8" x14ac:dyDescent="0.2">
      <c r="A37" s="9" t="s">
        <v>209</v>
      </c>
      <c r="B37" s="9" t="s">
        <v>80</v>
      </c>
      <c r="C37" s="9" t="s">
        <v>164</v>
      </c>
      <c r="D37" s="9" t="s">
        <v>45</v>
      </c>
      <c r="E37" s="9">
        <v>2</v>
      </c>
      <c r="F37" s="9">
        <v>1</v>
      </c>
      <c r="G37" s="10">
        <v>46194</v>
      </c>
      <c r="H37" s="9" t="s">
        <v>165</v>
      </c>
    </row>
    <row r="38" spans="1:8" x14ac:dyDescent="0.2">
      <c r="A38" s="9" t="s">
        <v>210</v>
      </c>
      <c r="B38" s="9" t="s">
        <v>82</v>
      </c>
      <c r="C38" s="9" t="s">
        <v>167</v>
      </c>
      <c r="D38" s="9" t="s">
        <v>45</v>
      </c>
      <c r="E38" s="9">
        <v>1</v>
      </c>
      <c r="F38" s="9">
        <v>4</v>
      </c>
      <c r="G38" s="10">
        <v>46373</v>
      </c>
      <c r="H38" s="9" t="s">
        <v>165</v>
      </c>
    </row>
    <row r="39" spans="1:8" x14ac:dyDescent="0.2">
      <c r="A39" s="9" t="s">
        <v>211</v>
      </c>
      <c r="B39" s="9" t="s">
        <v>95</v>
      </c>
      <c r="C39" s="9" t="s">
        <v>161</v>
      </c>
      <c r="D39" s="9" t="s">
        <v>65</v>
      </c>
      <c r="E39" s="9">
        <v>1</v>
      </c>
      <c r="F39" s="9">
        <v>4</v>
      </c>
      <c r="G39" s="10">
        <v>46209</v>
      </c>
      <c r="H39" s="9" t="s">
        <v>165</v>
      </c>
    </row>
    <row r="40" spans="1:8" x14ac:dyDescent="0.2">
      <c r="A40" s="9" t="s">
        <v>212</v>
      </c>
      <c r="B40" s="9" t="s">
        <v>85</v>
      </c>
      <c r="C40" s="9" t="s">
        <v>178</v>
      </c>
      <c r="D40" s="9" t="s">
        <v>65</v>
      </c>
      <c r="E40" s="9">
        <v>3</v>
      </c>
      <c r="F40" s="9">
        <v>3</v>
      </c>
      <c r="G40" s="10">
        <v>46306</v>
      </c>
      <c r="H40" s="9" t="s">
        <v>165</v>
      </c>
    </row>
    <row r="41" spans="1:8" x14ac:dyDescent="0.2">
      <c r="A41" s="9" t="s">
        <v>213</v>
      </c>
      <c r="B41" s="9" t="s">
        <v>48</v>
      </c>
      <c r="C41" s="9" t="s">
        <v>200</v>
      </c>
      <c r="D41" s="9" t="s">
        <v>50</v>
      </c>
      <c r="E41" s="9">
        <v>3</v>
      </c>
      <c r="F41" s="9">
        <v>2</v>
      </c>
      <c r="G41" s="10">
        <v>46184</v>
      </c>
      <c r="H41" s="9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topLeftCell="B1" zoomScale="168" zoomScaleNormal="100" workbookViewId="0">
      <pane ySplit="1" topLeftCell="A2" activePane="bottomLeft" state="frozen"/>
      <selection pane="bottomLeft" activeCell="G28" sqref="G28"/>
    </sheetView>
  </sheetViews>
  <sheetFormatPr baseColWidth="10" defaultColWidth="8.6640625" defaultRowHeight="15" x14ac:dyDescent="0.2"/>
  <cols>
    <col min="1" max="1" width="11" customWidth="1"/>
    <col min="2" max="2" width="32" customWidth="1"/>
    <col min="3" max="3" width="16" customWidth="1"/>
    <col min="4" max="4" width="11" customWidth="1"/>
    <col min="5" max="5" width="30" customWidth="1"/>
    <col min="6" max="6" width="12" customWidth="1"/>
    <col min="7" max="7" width="14" customWidth="1"/>
    <col min="8" max="8" width="13" customWidth="1"/>
    <col min="9" max="9" width="17" customWidth="1"/>
  </cols>
  <sheetData>
    <row r="1" spans="1:9" ht="30" customHeight="1" x14ac:dyDescent="0.2">
      <c r="A1" s="8" t="s">
        <v>35</v>
      </c>
      <c r="B1" s="8" t="s">
        <v>214</v>
      </c>
      <c r="C1" s="8" t="s">
        <v>215</v>
      </c>
      <c r="D1" s="8" t="s">
        <v>216</v>
      </c>
      <c r="E1" s="8" t="s">
        <v>217</v>
      </c>
      <c r="F1" s="8" t="s">
        <v>218</v>
      </c>
      <c r="G1" s="8" t="s">
        <v>219</v>
      </c>
      <c r="H1" s="8" t="s">
        <v>220</v>
      </c>
      <c r="I1" s="8" t="s">
        <v>221</v>
      </c>
    </row>
    <row r="2" spans="1:9" x14ac:dyDescent="0.2">
      <c r="A2" s="9" t="str">
        <f>Register_A!A2</f>
        <v>PRJ-001</v>
      </c>
      <c r="B2" s="9" t="str">
        <f>Register_A!B2</f>
        <v>Customer Portal Upgrade</v>
      </c>
      <c r="C2" s="9" t="str">
        <f>Register_A!C2</f>
        <v>Priya Sharma</v>
      </c>
      <c r="D2" s="9" t="str">
        <f>Register_A!H2</f>
        <v>Green</v>
      </c>
      <c r="E2" s="12" t="str">
        <f>TRIM(PROPER(B2))</f>
        <v>Customer Portal Upgrade</v>
      </c>
      <c r="F2" s="12" t="str">
        <f>TRIM(PROPER(D2))</f>
        <v>Green</v>
      </c>
      <c r="G2" s="12" t="str" cm="1">
        <f t="array" ref="G2">IF(C2="",fuck,"OK")</f>
        <v>OK</v>
      </c>
      <c r="H2" s="12" t="str">
        <f>IF(COUNTIF($A$2:$A$26,A2)&gt;1,"DUPLICATE","OK")</f>
        <v>OK</v>
      </c>
      <c r="I2" s="12" t="str">
        <f>IF(Register_A!F2&lt;Register_A!E2,"END BEFORE START","OK")</f>
        <v>OK</v>
      </c>
    </row>
    <row r="3" spans="1:9" x14ac:dyDescent="0.2">
      <c r="A3" s="9" t="str">
        <f>Register_A!A3</f>
        <v>PRJ-002</v>
      </c>
      <c r="B3" s="9" t="str">
        <f>Register_A!B3</f>
        <v>Payroll System Replacement</v>
      </c>
      <c r="C3" s="9" t="str">
        <f>Register_A!C3</f>
        <v>Liam O'Brien</v>
      </c>
      <c r="D3" s="9" t="str">
        <f>Register_A!H3</f>
        <v>Green</v>
      </c>
      <c r="E3" s="12" t="str">
        <f t="shared" ref="E3:E26" si="0">TRIM(PROPER(B3))</f>
        <v>Payroll System Replacement</v>
      </c>
      <c r="F3" s="12" t="str">
        <f t="shared" ref="F3:F26" si="1">TRIM(PROPER(D3))</f>
        <v>Green</v>
      </c>
      <c r="G3" s="12" t="str">
        <f t="shared" ref="G3:G26" si="2">IF(C3="","MISSING","OK")</f>
        <v>OK</v>
      </c>
      <c r="H3" s="12" t="str">
        <f t="shared" ref="H3:H26" si="3">IF(COUNTIF($A$2:$A$26,A3)&gt;1,"DUPLICATE","OK")</f>
        <v>OK</v>
      </c>
      <c r="I3" s="12" t="str">
        <f>IF(Register_A!F3&lt;Register_A!E3,"END BEFORE START","OK")</f>
        <v>OK</v>
      </c>
    </row>
    <row r="4" spans="1:9" x14ac:dyDescent="0.2">
      <c r="A4" s="9" t="str">
        <f>Register_A!A4</f>
        <v>PRJ-003</v>
      </c>
      <c r="B4" s="9" t="str">
        <f>Register_A!B4</f>
        <v>Records Digitisation</v>
      </c>
      <c r="C4" s="9" t="str">
        <f>Register_A!C4</f>
        <v>James Wilson</v>
      </c>
      <c r="D4" s="9" t="str">
        <f>Register_A!H4</f>
        <v>Green</v>
      </c>
      <c r="E4" s="12" t="str">
        <f t="shared" si="0"/>
        <v>Records Digitisation</v>
      </c>
      <c r="F4" s="12" t="str">
        <f t="shared" si="1"/>
        <v>Green</v>
      </c>
      <c r="G4" s="12" t="str">
        <f t="shared" si="2"/>
        <v>OK</v>
      </c>
      <c r="H4" s="12" t="str">
        <f t="shared" si="3"/>
        <v>OK</v>
      </c>
      <c r="I4" s="12" t="str">
        <f>IF(Register_A!F4&lt;Register_A!E4,"END BEFORE START","OK")</f>
        <v>OK</v>
      </c>
    </row>
    <row r="5" spans="1:9" x14ac:dyDescent="0.2">
      <c r="A5" s="9" t="str">
        <f>Register_A!A5</f>
        <v>PRJ-004</v>
      </c>
      <c r="B5" s="9" t="str">
        <f>Register_A!B5</f>
        <v>Cyber Security Uplift</v>
      </c>
      <c r="C5" s="9" t="str">
        <f>Register_A!C5</f>
        <v>Priya Sharma</v>
      </c>
      <c r="D5" s="9" t="str">
        <f>Register_A!H5</f>
        <v xml:space="preserve">amber </v>
      </c>
      <c r="E5" s="12" t="str">
        <f t="shared" si="0"/>
        <v>Cyber Security Uplift</v>
      </c>
      <c r="F5" s="12" t="str">
        <f t="shared" si="1"/>
        <v>Amber</v>
      </c>
      <c r="G5" s="12" t="str">
        <f t="shared" si="2"/>
        <v>OK</v>
      </c>
      <c r="H5" s="12" t="str">
        <f t="shared" si="3"/>
        <v>OK</v>
      </c>
      <c r="I5" s="12" t="str">
        <f>IF(Register_A!F5&lt;Register_A!E5,"END BEFORE START","OK")</f>
        <v>OK</v>
      </c>
    </row>
    <row r="6" spans="1:9" x14ac:dyDescent="0.2">
      <c r="A6" s="9" t="str">
        <f>Register_A!A6</f>
        <v>PRJ-005</v>
      </c>
      <c r="B6" s="9" t="str">
        <f>Register_A!B6</f>
        <v>Fleet Telematics Rollout</v>
      </c>
      <c r="C6" s="9" t="str">
        <f>Register_A!C6</f>
        <v>Mei Chen</v>
      </c>
      <c r="D6" s="9" t="str">
        <f>Register_A!H6</f>
        <v>Complete</v>
      </c>
      <c r="E6" s="12" t="str">
        <f t="shared" si="0"/>
        <v>Fleet Telematics Rollout</v>
      </c>
      <c r="F6" s="12" t="str">
        <f t="shared" si="1"/>
        <v>Complete</v>
      </c>
      <c r="G6" s="12" t="str">
        <f t="shared" si="2"/>
        <v>OK</v>
      </c>
      <c r="H6" s="12" t="str">
        <f t="shared" si="3"/>
        <v>OK</v>
      </c>
      <c r="I6" s="12" t="str">
        <f>IF(Register_A!F6&lt;Register_A!E6,"END BEFORE START","OK")</f>
        <v>OK</v>
      </c>
    </row>
    <row r="7" spans="1:9" x14ac:dyDescent="0.2">
      <c r="A7" s="9" t="str">
        <f>Register_A!A7</f>
        <v>PRJ-006</v>
      </c>
      <c r="B7" s="9" t="str">
        <f>Register_A!B7</f>
        <v>Data Warehouse Migration</v>
      </c>
      <c r="C7" s="9" t="str">
        <f>Register_A!C7</f>
        <v>Aisha Khan</v>
      </c>
      <c r="D7" s="9" t="str">
        <f>Register_A!H7</f>
        <v>Green</v>
      </c>
      <c r="E7" s="12" t="str">
        <f t="shared" si="0"/>
        <v>Data Warehouse Migration</v>
      </c>
      <c r="F7" s="12" t="str">
        <f t="shared" si="1"/>
        <v>Green</v>
      </c>
      <c r="G7" s="12" t="str">
        <f t="shared" si="2"/>
        <v>OK</v>
      </c>
      <c r="H7" s="12" t="str">
        <f t="shared" si="3"/>
        <v>OK</v>
      </c>
      <c r="I7" s="12" t="str">
        <f>IF(Register_A!F7&lt;Register_A!E7,"END BEFORE START","OK")</f>
        <v>OK</v>
      </c>
    </row>
    <row r="8" spans="1:9" x14ac:dyDescent="0.2">
      <c r="A8" s="9" t="str">
        <f>Register_A!A8</f>
        <v>PRJ-007</v>
      </c>
      <c r="B8" s="9" t="str">
        <f>Register_A!B8</f>
        <v>Mobile Inspections App</v>
      </c>
      <c r="C8" s="9">
        <f>Register_A!C8</f>
        <v>0</v>
      </c>
      <c r="D8" s="9" t="str">
        <f>Register_A!H8</f>
        <v>Green</v>
      </c>
      <c r="E8" s="12" t="str">
        <f t="shared" si="0"/>
        <v>Mobile Inspections App</v>
      </c>
      <c r="F8" s="12" t="str">
        <f t="shared" si="1"/>
        <v>Green</v>
      </c>
      <c r="G8" s="12" t="str">
        <f t="shared" si="2"/>
        <v>OK</v>
      </c>
      <c r="H8" s="12" t="str">
        <f t="shared" si="3"/>
        <v>OK</v>
      </c>
      <c r="I8" s="12" t="str">
        <f>IF(Register_A!F8&lt;Register_A!E8,"END BEFORE START","OK")</f>
        <v>OK</v>
      </c>
    </row>
    <row r="9" spans="1:9" x14ac:dyDescent="0.2">
      <c r="A9" s="9" t="str">
        <f>Register_A!A9</f>
        <v>PRJ-008</v>
      </c>
      <c r="B9" s="9" t="str">
        <f>Register_A!B9</f>
        <v>Office Network Refresh</v>
      </c>
      <c r="C9" s="9" t="str">
        <f>Register_A!C9</f>
        <v>Daniel Park</v>
      </c>
      <c r="D9" s="9" t="str">
        <f>Register_A!H9</f>
        <v>Red</v>
      </c>
      <c r="E9" s="12" t="str">
        <f t="shared" si="0"/>
        <v>Office Network Refresh</v>
      </c>
      <c r="F9" s="12" t="str">
        <f t="shared" si="1"/>
        <v>Red</v>
      </c>
      <c r="G9" s="12" t="str">
        <f t="shared" si="2"/>
        <v>OK</v>
      </c>
      <c r="H9" s="12" t="str">
        <f t="shared" si="3"/>
        <v>OK</v>
      </c>
      <c r="I9" s="12" t="str">
        <f>IF(Register_A!F9&lt;Register_A!E9,"END BEFORE START","OK")</f>
        <v>OK</v>
      </c>
    </row>
    <row r="10" spans="1:9" x14ac:dyDescent="0.2">
      <c r="A10" s="9" t="str">
        <f>Register_A!A10</f>
        <v>PRJ-009</v>
      </c>
      <c r="B10" s="9" t="str">
        <f>Register_A!B10</f>
        <v>Grants Management System</v>
      </c>
      <c r="C10" s="9" t="str">
        <f>Register_A!C10</f>
        <v>Aisha Khan</v>
      </c>
      <c r="D10" s="9" t="str">
        <f>Register_A!H10</f>
        <v>Amber</v>
      </c>
      <c r="E10" s="12" t="str">
        <f t="shared" si="0"/>
        <v>Grants Management System</v>
      </c>
      <c r="F10" s="12" t="str">
        <f t="shared" si="1"/>
        <v>Amber</v>
      </c>
      <c r="G10" s="12" t="str">
        <f t="shared" si="2"/>
        <v>OK</v>
      </c>
      <c r="H10" s="12" t="str">
        <f t="shared" si="3"/>
        <v>DUPLICATE</v>
      </c>
      <c r="I10" s="12" t="str">
        <f>IF(Register_A!F10&lt;Register_A!E10,"END BEFORE START","OK")</f>
        <v>OK</v>
      </c>
    </row>
    <row r="11" spans="1:9" x14ac:dyDescent="0.2">
      <c r="A11" s="9" t="str">
        <f>Register_A!A11</f>
        <v>PRJ-009</v>
      </c>
      <c r="B11" s="9" t="str">
        <f>Register_A!B11</f>
        <v>Grants Management System</v>
      </c>
      <c r="C11" s="9" t="str">
        <f>Register_A!C11</f>
        <v>Aisha Khan</v>
      </c>
      <c r="D11" s="9" t="str">
        <f>Register_A!H11</f>
        <v>Amber</v>
      </c>
      <c r="E11" s="12" t="str">
        <f t="shared" si="0"/>
        <v>Grants Management System</v>
      </c>
      <c r="F11" s="12" t="str">
        <f t="shared" si="1"/>
        <v>Amber</v>
      </c>
      <c r="G11" s="12" t="str">
        <f t="shared" si="2"/>
        <v>OK</v>
      </c>
      <c r="H11" s="12" t="str">
        <f t="shared" si="3"/>
        <v>DUPLICATE</v>
      </c>
      <c r="I11" s="12" t="str">
        <f>IF(Register_A!F11&lt;Register_A!E11,"END BEFORE START","OK")</f>
        <v>OK</v>
      </c>
    </row>
    <row r="12" spans="1:9" x14ac:dyDescent="0.2">
      <c r="A12" s="9" t="str">
        <f>Register_A!A12</f>
        <v>PRJ-010</v>
      </c>
      <c r="B12" s="9" t="str">
        <f>Register_A!B12</f>
        <v>Asset Register Cleanup</v>
      </c>
      <c r="C12" s="9" t="str">
        <f>Register_A!C12</f>
        <v>Aisha Khan</v>
      </c>
      <c r="D12" s="9" t="str">
        <f>Register_A!H12</f>
        <v>Red</v>
      </c>
      <c r="E12" s="12" t="str">
        <f t="shared" si="0"/>
        <v>Asset Register Cleanup</v>
      </c>
      <c r="F12" s="12" t="str">
        <f t="shared" si="1"/>
        <v>Red</v>
      </c>
      <c r="G12" s="12" t="str">
        <f t="shared" si="2"/>
        <v>OK</v>
      </c>
      <c r="H12" s="12" t="str">
        <f t="shared" si="3"/>
        <v>OK</v>
      </c>
      <c r="I12" s="12" t="str">
        <f>IF(Register_A!F12&lt;Register_A!E12,"END BEFORE START","OK")</f>
        <v>OK</v>
      </c>
    </row>
    <row r="13" spans="1:9" x14ac:dyDescent="0.2">
      <c r="A13" s="9" t="str">
        <f>Register_A!A13</f>
        <v>PRJ-011</v>
      </c>
      <c r="B13" s="9" t="str">
        <f>Register_A!B13</f>
        <v>Workforce Planning Tool</v>
      </c>
      <c r="C13" s="9" t="str">
        <f>Register_A!C13</f>
        <v>James Wilson</v>
      </c>
      <c r="D13" s="9" t="str">
        <f>Register_A!H13</f>
        <v>Complete</v>
      </c>
      <c r="E13" s="12" t="str">
        <f t="shared" si="0"/>
        <v>Workforce Planning Tool</v>
      </c>
      <c r="F13" s="12" t="str">
        <f t="shared" si="1"/>
        <v>Complete</v>
      </c>
      <c r="G13" s="12" t="str">
        <f t="shared" si="2"/>
        <v>OK</v>
      </c>
      <c r="H13" s="12" t="str">
        <f t="shared" si="3"/>
        <v>OK</v>
      </c>
      <c r="I13" s="12" t="str">
        <f>IF(Register_A!F13&lt;Register_A!E13,"END BEFORE START","OK")</f>
        <v>OK</v>
      </c>
    </row>
    <row r="14" spans="1:9" x14ac:dyDescent="0.2">
      <c r="A14" s="9" t="str">
        <f>Register_A!A14</f>
        <v>PRJ-012</v>
      </c>
      <c r="B14" s="9" t="str">
        <f>Register_A!B14</f>
        <v>Call Centre Modernisation</v>
      </c>
      <c r="C14" s="9" t="str">
        <f>Register_A!C14</f>
        <v>Daniel Park</v>
      </c>
      <c r="D14" s="9" t="str">
        <f>Register_A!H14</f>
        <v>Green</v>
      </c>
      <c r="E14" s="12" t="str">
        <f t="shared" si="0"/>
        <v>Call Centre Modernisation</v>
      </c>
      <c r="F14" s="12" t="str">
        <f t="shared" si="1"/>
        <v>Green</v>
      </c>
      <c r="G14" s="12" t="str">
        <f t="shared" si="2"/>
        <v>OK</v>
      </c>
      <c r="H14" s="12" t="str">
        <f t="shared" si="3"/>
        <v>OK</v>
      </c>
      <c r="I14" s="12" t="str">
        <f>IF(Register_A!F14&lt;Register_A!E14,"END BEFORE START","OK")</f>
        <v>END BEFORE START</v>
      </c>
    </row>
    <row r="15" spans="1:9" x14ac:dyDescent="0.2">
      <c r="A15" s="9" t="str">
        <f>Register_A!A15</f>
        <v>PRJ-013</v>
      </c>
      <c r="B15" s="9" t="str">
        <f>Register_A!B15</f>
        <v>Identity &amp; Access Management</v>
      </c>
      <c r="C15" s="9" t="str">
        <f>Register_A!C15</f>
        <v>Tom Nguyen</v>
      </c>
      <c r="D15" s="9" t="str">
        <f>Register_A!H15</f>
        <v>Red</v>
      </c>
      <c r="E15" s="12" t="str">
        <f t="shared" si="0"/>
        <v>Identity &amp; Access Management</v>
      </c>
      <c r="F15" s="12" t="str">
        <f t="shared" si="1"/>
        <v>Red</v>
      </c>
      <c r="G15" s="12" t="str">
        <f t="shared" si="2"/>
        <v>OK</v>
      </c>
      <c r="H15" s="12" t="str">
        <f t="shared" si="3"/>
        <v>OK</v>
      </c>
      <c r="I15" s="12" t="str">
        <f>IF(Register_A!F15&lt;Register_A!E15,"END BEFORE START","OK")</f>
        <v>OK</v>
      </c>
    </row>
    <row r="16" spans="1:9" x14ac:dyDescent="0.2">
      <c r="A16" s="9" t="str">
        <f>Register_A!A16</f>
        <v>PRJ-014</v>
      </c>
      <c r="B16" s="9" t="str">
        <f>Register_A!B16</f>
        <v>Budget Reporting Automation</v>
      </c>
      <c r="C16" s="9" t="str">
        <f>Register_A!C16</f>
        <v>Daniel Park</v>
      </c>
      <c r="D16" s="9" t="str">
        <f>Register_A!H16</f>
        <v>Green</v>
      </c>
      <c r="E16" s="12" t="str">
        <f t="shared" si="0"/>
        <v>Budget Reporting Automation</v>
      </c>
      <c r="F16" s="12" t="str">
        <f t="shared" si="1"/>
        <v>Green</v>
      </c>
      <c r="G16" s="12" t="str">
        <f t="shared" si="2"/>
        <v>OK</v>
      </c>
      <c r="H16" s="12" t="str">
        <f t="shared" si="3"/>
        <v>OK</v>
      </c>
      <c r="I16" s="12" t="str">
        <f>IF(Register_A!F16&lt;Register_A!E16,"END BEFORE START","OK")</f>
        <v>OK</v>
      </c>
    </row>
    <row r="17" spans="1:9" x14ac:dyDescent="0.2">
      <c r="A17" s="9" t="str">
        <f>Register_A!A17</f>
        <v>PRJ-015</v>
      </c>
      <c r="B17" s="9" t="str">
        <f>Register_A!B17</f>
        <v xml:space="preserve">  website accessibility fixes </v>
      </c>
      <c r="C17" s="9" t="str">
        <f>Register_A!C17</f>
        <v>James Wilson</v>
      </c>
      <c r="D17" s="9" t="str">
        <f>Register_A!H17</f>
        <v>Red</v>
      </c>
      <c r="E17" s="12" t="str">
        <f t="shared" si="0"/>
        <v>Website Accessibility Fixes</v>
      </c>
      <c r="F17" s="12" t="str">
        <f t="shared" si="1"/>
        <v>Red</v>
      </c>
      <c r="G17" s="12" t="str">
        <f t="shared" si="2"/>
        <v>OK</v>
      </c>
      <c r="H17" s="12" t="str">
        <f t="shared" si="3"/>
        <v>OK</v>
      </c>
      <c r="I17" s="12" t="str">
        <f>IF(Register_A!F17&lt;Register_A!E17,"END BEFORE START","OK")</f>
        <v>OK</v>
      </c>
    </row>
    <row r="18" spans="1:9" x14ac:dyDescent="0.2">
      <c r="A18" s="9" t="str">
        <f>Register_A!A18</f>
        <v>PRJ-016</v>
      </c>
      <c r="B18" s="9" t="str">
        <f>Register_A!B18</f>
        <v>Cloud Email Migration</v>
      </c>
      <c r="C18" s="9" t="str">
        <f>Register_A!C18</f>
        <v>Daniel Park</v>
      </c>
      <c r="D18" s="9" t="str">
        <f>Register_A!H18</f>
        <v>Complete</v>
      </c>
      <c r="E18" s="12" t="str">
        <f t="shared" si="0"/>
        <v>Cloud Email Migration</v>
      </c>
      <c r="F18" s="12" t="str">
        <f t="shared" si="1"/>
        <v>Complete</v>
      </c>
      <c r="G18" s="12" t="str">
        <f t="shared" si="2"/>
        <v>OK</v>
      </c>
      <c r="H18" s="12" t="str">
        <f t="shared" si="3"/>
        <v>OK</v>
      </c>
      <c r="I18" s="12" t="str">
        <f>IF(Register_A!F18&lt;Register_A!E18,"END BEFORE START","OK")</f>
        <v>OK</v>
      </c>
    </row>
    <row r="19" spans="1:9" x14ac:dyDescent="0.2">
      <c r="A19" s="9" t="str">
        <f>Register_A!A19</f>
        <v>PRJ-017</v>
      </c>
      <c r="B19" s="9" t="str">
        <f>Register_A!B19</f>
        <v>Contract Management Platform</v>
      </c>
      <c r="C19" s="9" t="str">
        <f>Register_A!C19</f>
        <v>Tom Nguyen</v>
      </c>
      <c r="D19" s="9" t="str">
        <f>Register_A!H19</f>
        <v>Green</v>
      </c>
      <c r="E19" s="12" t="str">
        <f t="shared" si="0"/>
        <v>Contract Management Platform</v>
      </c>
      <c r="F19" s="12" t="str">
        <f t="shared" si="1"/>
        <v>Green</v>
      </c>
      <c r="G19" s="12" t="str">
        <f t="shared" si="2"/>
        <v>OK</v>
      </c>
      <c r="H19" s="12" t="str">
        <f t="shared" si="3"/>
        <v>OK</v>
      </c>
      <c r="I19" s="12" t="str">
        <f>IF(Register_A!F19&lt;Register_A!E19,"END BEFORE START","OK")</f>
        <v>OK</v>
      </c>
    </row>
    <row r="20" spans="1:9" x14ac:dyDescent="0.2">
      <c r="A20" s="9" t="str">
        <f>Register_A!A20</f>
        <v>PRJ-018</v>
      </c>
      <c r="B20" s="9" t="str">
        <f>Register_A!B20</f>
        <v>Service Desk Replacement</v>
      </c>
      <c r="C20" s="9" t="str">
        <f>Register_A!C20</f>
        <v>Aisha Khan</v>
      </c>
      <c r="D20" s="9" t="str">
        <f>Register_A!H20</f>
        <v>Amber</v>
      </c>
      <c r="E20" s="12" t="str">
        <f t="shared" si="0"/>
        <v>Service Desk Replacement</v>
      </c>
      <c r="F20" s="12" t="str">
        <f t="shared" si="1"/>
        <v>Amber</v>
      </c>
      <c r="G20" s="12" t="str">
        <f t="shared" si="2"/>
        <v>OK</v>
      </c>
      <c r="H20" s="12" t="str">
        <f t="shared" si="3"/>
        <v>OK</v>
      </c>
      <c r="I20" s="12" t="str">
        <f>IF(Register_A!F20&lt;Register_A!E20,"END BEFORE START","OK")</f>
        <v>OK</v>
      </c>
    </row>
    <row r="21" spans="1:9" x14ac:dyDescent="0.2">
      <c r="A21" s="9" t="str">
        <f>Register_A!A21</f>
        <v>PRJ-019</v>
      </c>
      <c r="B21" s="9" t="str">
        <f>Register_A!B21</f>
        <v>GIS Mapping Upgrade</v>
      </c>
      <c r="C21" s="9" t="str">
        <f>Register_A!C21</f>
        <v>Mei Chen</v>
      </c>
      <c r="D21" s="9" t="str">
        <f>Register_A!H21</f>
        <v>Complete</v>
      </c>
      <c r="E21" s="36" t="s">
        <v>96</v>
      </c>
      <c r="F21" s="12" t="str">
        <f t="shared" si="1"/>
        <v>Complete</v>
      </c>
      <c r="G21" s="12" t="str">
        <f t="shared" si="2"/>
        <v>OK</v>
      </c>
      <c r="H21" s="12" t="str">
        <f t="shared" si="3"/>
        <v>OK</v>
      </c>
      <c r="I21" s="12" t="str">
        <f>IF(Register_A!F21&lt;Register_A!E21,"END BEFORE START","OK")</f>
        <v>OK</v>
      </c>
    </row>
    <row r="22" spans="1:9" x14ac:dyDescent="0.2">
      <c r="A22" s="9" t="str">
        <f>Register_A!A22</f>
        <v>PRJ-020</v>
      </c>
      <c r="B22" s="9" t="str">
        <f>Register_A!B22</f>
        <v>Procurement Portal</v>
      </c>
      <c r="C22" s="9" t="str">
        <f>Register_A!C22</f>
        <v>Sarah Jones</v>
      </c>
      <c r="D22" s="9" t="str">
        <f>Register_A!H22</f>
        <v>Complete</v>
      </c>
      <c r="E22" s="12" t="str">
        <f t="shared" si="0"/>
        <v>Procurement Portal</v>
      </c>
      <c r="F22" s="12" t="str">
        <f t="shared" si="1"/>
        <v>Complete</v>
      </c>
      <c r="G22" s="12" t="str">
        <f t="shared" si="2"/>
        <v>OK</v>
      </c>
      <c r="H22" s="12" t="str">
        <f t="shared" si="3"/>
        <v>OK</v>
      </c>
      <c r="I22" s="12" t="str">
        <f>IF(Register_A!F22&lt;Register_A!E22,"END BEFORE START","OK")</f>
        <v>OK</v>
      </c>
    </row>
    <row r="23" spans="1:9" x14ac:dyDescent="0.2">
      <c r="A23" s="9" t="str">
        <f>Register_A!A23</f>
        <v>PRJ-021</v>
      </c>
      <c r="B23" s="9" t="str">
        <f>Register_A!B23</f>
        <v>Document Management Upgrade</v>
      </c>
      <c r="C23" s="9" t="str">
        <f>Register_A!C23</f>
        <v>Mei Chen</v>
      </c>
      <c r="D23" s="9" t="str">
        <f>Register_A!H23</f>
        <v>Amber</v>
      </c>
      <c r="E23" s="12" t="str">
        <f t="shared" si="0"/>
        <v>Document Management Upgrade</v>
      </c>
      <c r="F23" s="12" t="str">
        <f t="shared" si="1"/>
        <v>Amber</v>
      </c>
      <c r="G23" s="12" t="str">
        <f t="shared" si="2"/>
        <v>OK</v>
      </c>
      <c r="H23" s="12" t="str">
        <f t="shared" si="3"/>
        <v>OK</v>
      </c>
      <c r="I23" s="12" t="str">
        <f>IF(Register_A!F23&lt;Register_A!E23,"END BEFORE START","OK")</f>
        <v>OK</v>
      </c>
    </row>
    <row r="24" spans="1:9" x14ac:dyDescent="0.2">
      <c r="A24" s="9" t="str">
        <f>Register_A!A24</f>
        <v>PRJ-022</v>
      </c>
      <c r="B24" s="9" t="str">
        <f>Register_A!B24</f>
        <v>Data Governance Framework</v>
      </c>
      <c r="C24" s="9" t="str">
        <f>Register_A!C24</f>
        <v>Priya Sharma</v>
      </c>
      <c r="D24" s="9" t="str">
        <f>Register_A!H24</f>
        <v>Amber</v>
      </c>
      <c r="E24" s="12" t="str">
        <f t="shared" si="0"/>
        <v>Data Governance Framework</v>
      </c>
      <c r="F24" s="12" t="str">
        <f t="shared" si="1"/>
        <v>Amber</v>
      </c>
      <c r="G24" s="12" t="str">
        <f t="shared" si="2"/>
        <v>OK</v>
      </c>
      <c r="H24" s="12" t="str">
        <f t="shared" si="3"/>
        <v>OK</v>
      </c>
      <c r="I24" s="12" t="str">
        <f>IF(Register_A!F24&lt;Register_A!E24,"END BEFORE START","OK")</f>
        <v>OK</v>
      </c>
    </row>
    <row r="25" spans="1:9" x14ac:dyDescent="0.2">
      <c r="A25" s="9" t="str">
        <f>Register_A!A25</f>
        <v>PRJ-023</v>
      </c>
      <c r="B25" s="9" t="str">
        <f>Register_A!B25</f>
        <v>Electric Vehicle Charging</v>
      </c>
      <c r="C25" s="9" t="str">
        <f>Register_A!C25</f>
        <v>Sarah Jones</v>
      </c>
      <c r="D25" s="9" t="str">
        <f>Register_A!H25</f>
        <v>Red</v>
      </c>
      <c r="E25" s="12" t="str">
        <f t="shared" si="0"/>
        <v>Electric Vehicle Charging</v>
      </c>
      <c r="F25" s="12" t="str">
        <f t="shared" si="1"/>
        <v>Red</v>
      </c>
      <c r="G25" s="12" t="str">
        <f t="shared" si="2"/>
        <v>OK</v>
      </c>
      <c r="H25" s="12" t="str">
        <f t="shared" si="3"/>
        <v>OK</v>
      </c>
      <c r="I25" s="12" t="str">
        <f>IF(Register_A!F25&lt;Register_A!E25,"END BEFORE START","OK")</f>
        <v>OK</v>
      </c>
    </row>
    <row r="26" spans="1:9" x14ac:dyDescent="0.2">
      <c r="A26" s="9" t="str">
        <f>Register_A!A26</f>
        <v>PRJ-024</v>
      </c>
      <c r="B26" s="9" t="str">
        <f>Register_A!B26</f>
        <v>Council Meeting Livestream</v>
      </c>
      <c r="C26" s="9" t="str">
        <f>Register_A!C26</f>
        <v>Priya Sharma</v>
      </c>
      <c r="D26" s="9" t="str">
        <f>Register_A!H26</f>
        <v>Complete</v>
      </c>
      <c r="E26" s="12" t="str">
        <f t="shared" si="0"/>
        <v>Council Meeting Livestream</v>
      </c>
      <c r="F26" s="12" t="str">
        <f t="shared" si="1"/>
        <v>Complete</v>
      </c>
      <c r="G26" s="12" t="str">
        <f t="shared" si="2"/>
        <v>OK</v>
      </c>
      <c r="H26" s="12" t="str">
        <f t="shared" si="3"/>
        <v>OK</v>
      </c>
      <c r="I26" s="12" t="str">
        <f>IF(Register_A!F26&lt;Register_A!E26,"END BEFORE START","OK")</f>
        <v>OK</v>
      </c>
    </row>
  </sheetData>
  <dataValidations disablePrompts="1" count="1">
    <dataValidation type="list" allowBlank="1" showInputMessage="1" showErrorMessage="1" sqref="A30" xr:uid="{537C57E8-6521-AE4A-B869-4684E6FAA1B6}">
      <formula1>"Green,Amber,Red,Complete"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zoomScale="142" zoomScaleNormal="100" workbookViewId="0">
      <pane ySplit="1" topLeftCell="A2" activePane="bottomLeft" state="frozen"/>
      <selection pane="bottomLeft" activeCell="G32" sqref="G32"/>
    </sheetView>
  </sheetViews>
  <sheetFormatPr baseColWidth="10" defaultColWidth="8.6640625" defaultRowHeight="15" x14ac:dyDescent="0.2"/>
  <cols>
    <col min="1" max="1" width="11" customWidth="1"/>
    <col min="2" max="2" width="32" customWidth="1"/>
    <col min="3" max="3" width="13" customWidth="1"/>
    <col min="4" max="4" width="30" customWidth="1"/>
    <col min="5" max="7" width="13" customWidth="1"/>
    <col min="8" max="8" width="20" customWidth="1"/>
  </cols>
  <sheetData>
    <row r="1" spans="1:8" ht="30" customHeight="1" x14ac:dyDescent="0.2">
      <c r="A1" s="8" t="s">
        <v>35</v>
      </c>
      <c r="B1" s="8" t="s">
        <v>36</v>
      </c>
      <c r="C1" s="8" t="s">
        <v>222</v>
      </c>
      <c r="D1" s="8" t="s">
        <v>223</v>
      </c>
      <c r="E1" s="8" t="s">
        <v>108</v>
      </c>
      <c r="F1" s="8" t="s">
        <v>224</v>
      </c>
      <c r="G1" s="8" t="s">
        <v>225</v>
      </c>
      <c r="H1" s="8" t="s">
        <v>226</v>
      </c>
    </row>
    <row r="2" spans="1:8" x14ac:dyDescent="0.2">
      <c r="A2" s="9" t="str">
        <f>Register_A!A2</f>
        <v>PRJ-001</v>
      </c>
      <c r="B2" s="9" t="str">
        <f>Register_A!B2</f>
        <v>Customer Portal Upgrade</v>
      </c>
      <c r="C2" s="11">
        <f>Register_A!G2</f>
        <v>455000</v>
      </c>
      <c r="D2" s="12" t="str">
        <f>LOWER(TRIM(B2))</f>
        <v>customer portal upgrade</v>
      </c>
      <c r="E2" s="12" t="str">
        <f>IFERROR(INDEX(Register_B!$A$2:$A$23,MATCH(D2,Register_B!$F$2:$F$23,0)),"NOT FOUND")</f>
        <v>FIN-101</v>
      </c>
      <c r="F2" s="13">
        <f>IF(E2="NOT FOUND","",INDEX(Register_B!$C$2:$C$23,MATCH(E2,Register_B!$A$2:$A$23,0)))</f>
        <v>455000</v>
      </c>
      <c r="G2" s="13">
        <f>IF(F2="","",F2-C2)</f>
        <v>0</v>
      </c>
      <c r="H2" s="12" t="str">
        <f>IF(E2="NOT FOUND","Missing in finance",IF(G2&lt;&gt;0,"Budget mismatch","Match"))</f>
        <v>Match</v>
      </c>
    </row>
    <row r="3" spans="1:8" x14ac:dyDescent="0.2">
      <c r="A3" s="9" t="str">
        <f>Register_A!A3</f>
        <v>PRJ-002</v>
      </c>
      <c r="B3" s="9" t="str">
        <f>Register_A!B3</f>
        <v>Payroll System Replacement</v>
      </c>
      <c r="C3" s="11">
        <f>Register_A!G3</f>
        <v>360000</v>
      </c>
      <c r="D3" s="12" t="str">
        <f t="shared" ref="D3:D26" si="0">LOWER(TRIM(B3))</f>
        <v>payroll system replacement</v>
      </c>
      <c r="E3" s="12" t="str">
        <f>IFERROR(INDEX(Register_B!$A$2:$A$23,MATCH(D3,Register_B!$F$2:$F$23,0)),"NOT FOUND")</f>
        <v>FIN-102</v>
      </c>
      <c r="F3" s="13">
        <f>IF(E3="NOT FOUND","",INDEX(Register_B!$C$2:$C$23,MATCH(E3,Register_B!$A$2:$A$23,0)))</f>
        <v>345000</v>
      </c>
      <c r="G3" s="13">
        <f t="shared" ref="G3:G26" si="1">IF(F3="","",F3-C3)</f>
        <v>-15000</v>
      </c>
      <c r="H3" s="12" t="str">
        <f t="shared" ref="H3:H26" si="2">IF(E3="NOT FOUND","Missing in finance",IF(G3&lt;&gt;0,"Budget mismatch","Match"))</f>
        <v>Budget mismatch</v>
      </c>
    </row>
    <row r="4" spans="1:8" x14ac:dyDescent="0.2">
      <c r="A4" s="9" t="str">
        <f>Register_A!A4</f>
        <v>PRJ-003</v>
      </c>
      <c r="B4" s="9" t="str">
        <f>Register_A!B4</f>
        <v>Records Digitisation</v>
      </c>
      <c r="C4" s="11">
        <f>Register_A!G4</f>
        <v>190000</v>
      </c>
      <c r="D4" s="12" t="str">
        <f t="shared" si="0"/>
        <v>records digitisation</v>
      </c>
      <c r="E4" s="12" t="str">
        <f>IFERROR(INDEX(Register_B!$A$2:$A$23,MATCH(D4,Register_B!$F$2:$F$23,0)),"NOT FOUND")</f>
        <v>FIN-103</v>
      </c>
      <c r="F4" s="13">
        <f>IF(E4="NOT FOUND","",INDEX(Register_B!$C$2:$C$23,MATCH(E4,Register_B!$A$2:$A$23,0)))</f>
        <v>190000</v>
      </c>
      <c r="G4" s="13">
        <f t="shared" si="1"/>
        <v>0</v>
      </c>
      <c r="H4" s="12" t="str">
        <f t="shared" si="2"/>
        <v>Match</v>
      </c>
    </row>
    <row r="5" spans="1:8" x14ac:dyDescent="0.2">
      <c r="A5" s="9" t="str">
        <f>Register_A!A5</f>
        <v>PRJ-004</v>
      </c>
      <c r="B5" s="9" t="str">
        <f>Register_A!B5</f>
        <v>Cyber Security Uplift</v>
      </c>
      <c r="C5" s="11">
        <f>Register_A!G5</f>
        <v>440000</v>
      </c>
      <c r="D5" s="12" t="str">
        <f t="shared" si="0"/>
        <v>cyber security uplift</v>
      </c>
      <c r="E5" s="12" t="str">
        <f>IFERROR(INDEX(Register_B!$A$2:$A$23,MATCH(D5,Register_B!$F$2:$F$23,0)),"NOT FOUND")</f>
        <v>FIN-104</v>
      </c>
      <c r="F5" s="13">
        <f>IF(E5="NOT FOUND","",INDEX(Register_B!$C$2:$C$23,MATCH(E5,Register_B!$A$2:$A$23,0)))</f>
        <v>440000</v>
      </c>
      <c r="G5" s="13">
        <f t="shared" si="1"/>
        <v>0</v>
      </c>
      <c r="H5" s="12" t="str">
        <f t="shared" si="2"/>
        <v>Match</v>
      </c>
    </row>
    <row r="6" spans="1:8" x14ac:dyDescent="0.2">
      <c r="A6" s="9" t="str">
        <f>Register_A!A6</f>
        <v>PRJ-005</v>
      </c>
      <c r="B6" s="9" t="str">
        <f>Register_A!B6</f>
        <v>Fleet Telematics Rollout</v>
      </c>
      <c r="C6" s="11">
        <f>Register_A!G6</f>
        <v>585000</v>
      </c>
      <c r="D6" s="12" t="str">
        <f t="shared" si="0"/>
        <v>fleet telematics rollout</v>
      </c>
      <c r="E6" s="12" t="str">
        <f>IFERROR(INDEX(Register_B!$A$2:$A$23,MATCH(D6,Register_B!$F$2:$F$23,0)),"NOT FOUND")</f>
        <v>FIN-105</v>
      </c>
      <c r="F6" s="13">
        <f>IF(E6="NOT FOUND","",INDEX(Register_B!$C$2:$C$23,MATCH(E6,Register_B!$A$2:$A$23,0)))</f>
        <v>585000</v>
      </c>
      <c r="G6" s="13">
        <f t="shared" si="1"/>
        <v>0</v>
      </c>
      <c r="H6" s="12" t="str">
        <f t="shared" si="2"/>
        <v>Match</v>
      </c>
    </row>
    <row r="7" spans="1:8" x14ac:dyDescent="0.2">
      <c r="A7" s="9" t="str">
        <f>Register_A!A7</f>
        <v>PRJ-006</v>
      </c>
      <c r="B7" s="9" t="str">
        <f>Register_A!B7</f>
        <v>Data Warehouse Migration</v>
      </c>
      <c r="C7" s="11">
        <f>Register_A!G7</f>
        <v>405000</v>
      </c>
      <c r="D7" s="12" t="str">
        <f t="shared" si="0"/>
        <v>data warehouse migration</v>
      </c>
      <c r="E7" s="12" t="str">
        <f>IFERROR(INDEX(Register_B!$A$2:$A$23,MATCH(D7,Register_B!$F$2:$F$23,0)),"NOT FOUND")</f>
        <v>FIN-106</v>
      </c>
      <c r="F7" s="13">
        <f>IF(E7="NOT FOUND","",INDEX(Register_B!$C$2:$C$23,MATCH(E7,Register_B!$A$2:$A$23,0)))</f>
        <v>405000</v>
      </c>
      <c r="G7" s="13">
        <f t="shared" si="1"/>
        <v>0</v>
      </c>
      <c r="H7" s="12" t="str">
        <f t="shared" si="2"/>
        <v>Match</v>
      </c>
    </row>
    <row r="8" spans="1:8" x14ac:dyDescent="0.2">
      <c r="A8" s="9" t="str">
        <f>Register_A!A8</f>
        <v>PRJ-007</v>
      </c>
      <c r="B8" s="9" t="str">
        <f>Register_A!B8</f>
        <v>Mobile Inspections App</v>
      </c>
      <c r="C8" s="11">
        <f>Register_A!G8</f>
        <v>160000</v>
      </c>
      <c r="D8" s="12" t="str">
        <f t="shared" si="0"/>
        <v>mobile inspections app</v>
      </c>
      <c r="E8" s="12" t="str">
        <f>IFERROR(INDEX(Register_B!$A$2:$A$23,MATCH(D8,Register_B!$F$2:$F$23,0)),"NOT FOUND")</f>
        <v>FIN-107</v>
      </c>
      <c r="F8" s="13">
        <f>IF(E8="NOT FOUND","",INDEX(Register_B!$C$2:$C$23,MATCH(E8,Register_B!$A$2:$A$23,0)))</f>
        <v>160000</v>
      </c>
      <c r="G8" s="13">
        <f t="shared" si="1"/>
        <v>0</v>
      </c>
      <c r="H8" s="12" t="str">
        <f t="shared" si="2"/>
        <v>Match</v>
      </c>
    </row>
    <row r="9" spans="1:8" x14ac:dyDescent="0.2">
      <c r="A9" s="9" t="str">
        <f>Register_A!A9</f>
        <v>PRJ-008</v>
      </c>
      <c r="B9" s="9" t="str">
        <f>Register_A!B9</f>
        <v>Office Network Refresh</v>
      </c>
      <c r="C9" s="11">
        <f>Register_A!G9</f>
        <v>170000</v>
      </c>
      <c r="D9" s="12" t="str">
        <f t="shared" si="0"/>
        <v>office network refresh</v>
      </c>
      <c r="E9" s="12" t="str">
        <f>IFERROR(INDEX(Register_B!$A$2:$A$23,MATCH(D9,Register_B!$F$2:$F$23,0)),"NOT FOUND")</f>
        <v>NOT FOUND</v>
      </c>
      <c r="F9" s="13" t="str">
        <f>IF(E9="NOT FOUND","",INDEX(Register_B!$C$2:$C$23,MATCH(E9,Register_B!$A$2:$A$23,0)))</f>
        <v/>
      </c>
      <c r="G9" s="13" t="str">
        <f t="shared" si="1"/>
        <v/>
      </c>
      <c r="H9" s="12" t="str">
        <f t="shared" si="2"/>
        <v>Missing in finance</v>
      </c>
    </row>
    <row r="10" spans="1:8" x14ac:dyDescent="0.2">
      <c r="A10" s="9" t="str">
        <f>Register_A!A10</f>
        <v>PRJ-009</v>
      </c>
      <c r="B10" s="9" t="str">
        <f>Register_A!B10</f>
        <v>Grants Management System</v>
      </c>
      <c r="C10" s="11">
        <f>Register_A!G10</f>
        <v>270000</v>
      </c>
      <c r="D10" s="12" t="str">
        <f t="shared" si="0"/>
        <v>grants management system</v>
      </c>
      <c r="E10" s="12" t="str">
        <f>IFERROR(INDEX(Register_B!$A$2:$A$23,MATCH(D10,Register_B!$F$2:$F$23,0)),"NOT FOUND")</f>
        <v>FIN-108</v>
      </c>
      <c r="F10" s="13">
        <f>IF(E10="NOT FOUND","",INDEX(Register_B!$C$2:$C$23,MATCH(E10,Register_B!$A$2:$A$23,0)))</f>
        <v>270000</v>
      </c>
      <c r="G10" s="13">
        <f t="shared" si="1"/>
        <v>0</v>
      </c>
      <c r="H10" s="12" t="str">
        <f t="shared" si="2"/>
        <v>Match</v>
      </c>
    </row>
    <row r="11" spans="1:8" x14ac:dyDescent="0.2">
      <c r="A11" s="9" t="str">
        <f>Register_A!A11</f>
        <v>PRJ-009</v>
      </c>
      <c r="B11" s="9" t="str">
        <f>Register_A!B11</f>
        <v>Grants Management System</v>
      </c>
      <c r="C11" s="11">
        <f>Register_A!G11</f>
        <v>270000</v>
      </c>
      <c r="D11" s="12" t="str">
        <f t="shared" si="0"/>
        <v>grants management system</v>
      </c>
      <c r="E11" s="12" t="str">
        <f>IFERROR(INDEX(Register_B!$A$2:$A$23,MATCH(D11,Register_B!$F$2:$F$23,0)),"NOT FOUND")</f>
        <v>FIN-108</v>
      </c>
      <c r="F11" s="13">
        <f>IF(E11="NOT FOUND","",INDEX(Register_B!$C$2:$C$23,MATCH(E11,Register_B!$A$2:$A$23,0)))</f>
        <v>270000</v>
      </c>
      <c r="G11" s="13">
        <f t="shared" si="1"/>
        <v>0</v>
      </c>
      <c r="H11" s="12" t="str">
        <f t="shared" si="2"/>
        <v>Match</v>
      </c>
    </row>
    <row r="12" spans="1:8" x14ac:dyDescent="0.2">
      <c r="A12" s="9" t="str">
        <f>Register_A!A12</f>
        <v>PRJ-010</v>
      </c>
      <c r="B12" s="9" t="str">
        <f>Register_A!B12</f>
        <v>Asset Register Cleanup</v>
      </c>
      <c r="C12" s="11">
        <f>Register_A!G12</f>
        <v>90000</v>
      </c>
      <c r="D12" s="12" t="str">
        <f t="shared" si="0"/>
        <v>asset register cleanup</v>
      </c>
      <c r="E12" s="12" t="str">
        <f>IFERROR(INDEX(Register_B!$A$2:$A$23,MATCH(D12,Register_B!$F$2:$F$23,0)),"NOT FOUND")</f>
        <v>FIN-109</v>
      </c>
      <c r="F12" s="13">
        <f>IF(E12="NOT FOUND","",INDEX(Register_B!$C$2:$C$23,MATCH(E12,Register_B!$A$2:$A$23,0)))</f>
        <v>90000</v>
      </c>
      <c r="G12" s="13">
        <f t="shared" si="1"/>
        <v>0</v>
      </c>
      <c r="H12" s="12" t="str">
        <f t="shared" si="2"/>
        <v>Match</v>
      </c>
    </row>
    <row r="13" spans="1:8" x14ac:dyDescent="0.2">
      <c r="A13" s="9" t="str">
        <f>Register_A!A13</f>
        <v>PRJ-011</v>
      </c>
      <c r="B13" s="9" t="str">
        <f>Register_A!B13</f>
        <v>Workforce Planning Tool</v>
      </c>
      <c r="C13" s="11">
        <f>Register_A!G13</f>
        <v>425000</v>
      </c>
      <c r="D13" s="12" t="str">
        <f t="shared" si="0"/>
        <v>workforce planning tool</v>
      </c>
      <c r="E13" s="12" t="str">
        <f>IFERROR(INDEX(Register_B!$A$2:$A$23,MATCH(D13,Register_B!$F$2:$F$23,0)),"NOT FOUND")</f>
        <v>NOT FOUND</v>
      </c>
      <c r="F13" s="13" t="str">
        <f>IF(E13="NOT FOUND","",INDEX(Register_B!$C$2:$C$23,MATCH(E13,Register_B!$A$2:$A$23,0)))</f>
        <v/>
      </c>
      <c r="G13" s="13" t="str">
        <f t="shared" si="1"/>
        <v/>
      </c>
      <c r="H13" s="12" t="str">
        <f t="shared" si="2"/>
        <v>Missing in finance</v>
      </c>
    </row>
    <row r="14" spans="1:8" x14ac:dyDescent="0.2">
      <c r="A14" s="9" t="str">
        <f>Register_A!A14</f>
        <v>PRJ-012</v>
      </c>
      <c r="B14" s="9" t="str">
        <f>Register_A!B14</f>
        <v>Call Centre Modernisation</v>
      </c>
      <c r="C14" s="11">
        <f>Register_A!G14</f>
        <v>135000</v>
      </c>
      <c r="D14" s="12" t="str">
        <f t="shared" si="0"/>
        <v>call centre modernisation</v>
      </c>
      <c r="E14" s="12" t="str">
        <f>IFERROR(INDEX(Register_B!$A$2:$A$23,MATCH(D14,Register_B!$F$2:$F$23,0)),"NOT FOUND")</f>
        <v>FIN-110</v>
      </c>
      <c r="F14" s="13">
        <f>IF(E14="NOT FOUND","",INDEX(Register_B!$C$2:$C$23,MATCH(E14,Register_B!$A$2:$A$23,0)))</f>
        <v>135000</v>
      </c>
      <c r="G14" s="13">
        <f t="shared" si="1"/>
        <v>0</v>
      </c>
      <c r="H14" s="12" t="str">
        <f t="shared" si="2"/>
        <v>Match</v>
      </c>
    </row>
    <row r="15" spans="1:8" x14ac:dyDescent="0.2">
      <c r="A15" s="9" t="str">
        <f>Register_A!A15</f>
        <v>PRJ-013</v>
      </c>
      <c r="B15" s="9" t="str">
        <f>Register_A!B15</f>
        <v>Identity &amp; Access Management</v>
      </c>
      <c r="C15" s="11">
        <f>Register_A!G15</f>
        <v>395000</v>
      </c>
      <c r="D15" s="12" t="str">
        <f t="shared" si="0"/>
        <v>identity &amp; access management</v>
      </c>
      <c r="E15" s="12" t="str">
        <f>IFERROR(INDEX(Register_B!$A$2:$A$23,MATCH(D15,Register_B!$F$2:$F$23,0)),"NOT FOUND")</f>
        <v>NOT FOUND</v>
      </c>
      <c r="F15" s="13" t="str">
        <f>IF(E15="NOT FOUND","",INDEX(Register_B!$C$2:$C$23,MATCH(E15,Register_B!$A$2:$A$23,0)))</f>
        <v/>
      </c>
      <c r="G15" s="13" t="str">
        <f t="shared" si="1"/>
        <v/>
      </c>
      <c r="H15" s="12" t="str">
        <f t="shared" si="2"/>
        <v>Missing in finance</v>
      </c>
    </row>
    <row r="16" spans="1:8" x14ac:dyDescent="0.2">
      <c r="A16" s="9" t="str">
        <f>Register_A!A16</f>
        <v>PRJ-014</v>
      </c>
      <c r="B16" s="9" t="str">
        <f>Register_A!B16</f>
        <v>Budget Reporting Automation</v>
      </c>
      <c r="C16" s="11">
        <f>Register_A!G16</f>
        <v>550000</v>
      </c>
      <c r="D16" s="12" t="str">
        <f t="shared" si="0"/>
        <v>budget reporting automation</v>
      </c>
      <c r="E16" s="12" t="str">
        <f>IFERROR(INDEX(Register_B!$A$2:$A$23,MATCH(D16,Register_B!$F$2:$F$23,0)),"NOT FOUND")</f>
        <v>FIN-112</v>
      </c>
      <c r="F16" s="13">
        <f>IF(E16="NOT FOUND","",INDEX(Register_B!$C$2:$C$23,MATCH(E16,Register_B!$A$2:$A$23,0)))</f>
        <v>550000</v>
      </c>
      <c r="G16" s="13">
        <f t="shared" si="1"/>
        <v>0</v>
      </c>
      <c r="H16" s="12" t="str">
        <f t="shared" si="2"/>
        <v>Match</v>
      </c>
    </row>
    <row r="17" spans="1:8" x14ac:dyDescent="0.2">
      <c r="A17" s="9" t="str">
        <f>Register_A!A17</f>
        <v>PRJ-015</v>
      </c>
      <c r="B17" s="9" t="str">
        <f>Register_A!B17</f>
        <v xml:space="preserve">  website accessibility fixes </v>
      </c>
      <c r="C17" s="11">
        <f>Register_A!G17</f>
        <v>465000</v>
      </c>
      <c r="D17" s="12" t="str">
        <f t="shared" si="0"/>
        <v>website accessibility fixes</v>
      </c>
      <c r="E17" s="12" t="str">
        <f>IFERROR(INDEX(Register_B!$A$2:$A$23,MATCH(D17,Register_B!$F$2:$F$23,0)),"NOT FOUND")</f>
        <v>FIN-113</v>
      </c>
      <c r="F17" s="13">
        <f>IF(E17="NOT FOUND","",INDEX(Register_B!$C$2:$C$23,MATCH(E17,Register_B!$A$2:$A$23,0)))</f>
        <v>465000</v>
      </c>
      <c r="G17" s="13">
        <f t="shared" si="1"/>
        <v>0</v>
      </c>
      <c r="H17" s="12" t="str">
        <f t="shared" si="2"/>
        <v>Match</v>
      </c>
    </row>
    <row r="18" spans="1:8" x14ac:dyDescent="0.2">
      <c r="A18" s="9" t="str">
        <f>Register_A!A18</f>
        <v>PRJ-016</v>
      </c>
      <c r="B18" s="9" t="str">
        <f>Register_A!B18</f>
        <v>Cloud Email Migration</v>
      </c>
      <c r="C18" s="11">
        <f>Register_A!G18</f>
        <v>565000</v>
      </c>
      <c r="D18" s="12" t="str">
        <f t="shared" si="0"/>
        <v>cloud email migration</v>
      </c>
      <c r="E18" s="12" t="str">
        <f>IFERROR(INDEX(Register_B!$A$2:$A$23,MATCH(D18,Register_B!$F$2:$F$23,0)),"NOT FOUND")</f>
        <v>FIN-114</v>
      </c>
      <c r="F18" s="13">
        <f>IF(E18="NOT FOUND","",INDEX(Register_B!$C$2:$C$23,MATCH(E18,Register_B!$A$2:$A$23,0)))</f>
        <v>535000</v>
      </c>
      <c r="G18" s="13">
        <f t="shared" si="1"/>
        <v>-30000</v>
      </c>
      <c r="H18" s="12" t="str">
        <f t="shared" si="2"/>
        <v>Budget mismatch</v>
      </c>
    </row>
    <row r="19" spans="1:8" x14ac:dyDescent="0.2">
      <c r="A19" s="9" t="str">
        <f>Register_A!A19</f>
        <v>PRJ-017</v>
      </c>
      <c r="B19" s="9" t="str">
        <f>Register_A!B19</f>
        <v>Contract Management Platform</v>
      </c>
      <c r="C19" s="11">
        <f>Register_A!G19</f>
        <v>335000</v>
      </c>
      <c r="D19" s="12" t="str">
        <f t="shared" si="0"/>
        <v>contract management platform</v>
      </c>
      <c r="E19" s="12" t="str">
        <f>IFERROR(INDEX(Register_B!$A$2:$A$23,MATCH(D19,Register_B!$F$2:$F$23,0)),"NOT FOUND")</f>
        <v>FIN-115</v>
      </c>
      <c r="F19" s="13">
        <f>IF(E19="NOT FOUND","",INDEX(Register_B!$C$2:$C$23,MATCH(E19,Register_B!$A$2:$A$23,0)))</f>
        <v>335000</v>
      </c>
      <c r="G19" s="13">
        <f t="shared" si="1"/>
        <v>0</v>
      </c>
      <c r="H19" s="12" t="str">
        <f t="shared" si="2"/>
        <v>Match</v>
      </c>
    </row>
    <row r="20" spans="1:8" x14ac:dyDescent="0.2">
      <c r="A20" s="9" t="str">
        <f>Register_A!A20</f>
        <v>PRJ-018</v>
      </c>
      <c r="B20" s="9" t="str">
        <f>Register_A!B20</f>
        <v>Service Desk Replacement</v>
      </c>
      <c r="C20" s="11">
        <f>Register_A!G20</f>
        <v>530000</v>
      </c>
      <c r="D20" s="12" t="str">
        <f t="shared" si="0"/>
        <v>service desk replacement</v>
      </c>
      <c r="E20" s="12" t="str">
        <f>IFERROR(INDEX(Register_B!$A$2:$A$23,MATCH(D20,Register_B!$F$2:$F$23,0)),"NOT FOUND")</f>
        <v>FIN-116</v>
      </c>
      <c r="F20" s="13">
        <f>IF(E20="NOT FOUND","",INDEX(Register_B!$C$2:$C$23,MATCH(E20,Register_B!$A$2:$A$23,0)))</f>
        <v>530000</v>
      </c>
      <c r="G20" s="13">
        <f t="shared" si="1"/>
        <v>0</v>
      </c>
      <c r="H20" s="12" t="str">
        <f t="shared" si="2"/>
        <v>Match</v>
      </c>
    </row>
    <row r="21" spans="1:8" x14ac:dyDescent="0.2">
      <c r="A21" s="9" t="str">
        <f>Register_A!A21</f>
        <v>PRJ-019</v>
      </c>
      <c r="B21" s="9" t="str">
        <f>Register_A!B21</f>
        <v>GIS Mapping Upgrade</v>
      </c>
      <c r="C21" s="11">
        <f>Register_A!G21</f>
        <v>90000</v>
      </c>
      <c r="D21" s="36" t="s">
        <v>299</v>
      </c>
      <c r="E21" s="12" t="str">
        <f>IFERROR(INDEX(Register_B!$A$2:$A$23,MATCH(D21,Register_B!$F$2:$F$23,0)),"NOT FOUND")</f>
        <v>NOT FOUND</v>
      </c>
      <c r="F21" s="13" t="str">
        <f>IF(E21="NOT FOUND","",INDEX(Register_B!$C$2:$C$23,MATCH(E21,Register_B!$A$2:$A$23,0)))</f>
        <v/>
      </c>
      <c r="G21" s="13" t="str">
        <f t="shared" si="1"/>
        <v/>
      </c>
      <c r="H21" s="12" t="str">
        <f t="shared" si="2"/>
        <v>Missing in finance</v>
      </c>
    </row>
    <row r="22" spans="1:8" x14ac:dyDescent="0.2">
      <c r="A22" s="9" t="str">
        <f>Register_A!A22</f>
        <v>PRJ-020</v>
      </c>
      <c r="B22" s="9" t="str">
        <f>Register_A!B22</f>
        <v>Procurement Portal</v>
      </c>
      <c r="C22" s="11">
        <f>Register_A!G22</f>
        <v>560000</v>
      </c>
      <c r="D22" s="12" t="str">
        <f t="shared" si="0"/>
        <v>procurement portal</v>
      </c>
      <c r="E22" s="12" t="str">
        <f>IFERROR(INDEX(Register_B!$A$2:$A$23,MATCH(D22,Register_B!$F$2:$F$23,0)),"NOT FOUND")</f>
        <v>FIN-117</v>
      </c>
      <c r="F22" s="13">
        <f>IF(E22="NOT FOUND","",INDEX(Register_B!$C$2:$C$23,MATCH(E22,Register_B!$A$2:$A$23,0)))</f>
        <v>530000</v>
      </c>
      <c r="G22" s="13">
        <f t="shared" si="1"/>
        <v>-30000</v>
      </c>
      <c r="H22" s="12" t="str">
        <f t="shared" si="2"/>
        <v>Budget mismatch</v>
      </c>
    </row>
    <row r="23" spans="1:8" x14ac:dyDescent="0.2">
      <c r="A23" s="9" t="str">
        <f>Register_A!A23</f>
        <v>PRJ-021</v>
      </c>
      <c r="B23" s="9" t="str">
        <f>Register_A!B23</f>
        <v>Document Management Upgrade</v>
      </c>
      <c r="C23" s="11">
        <f>Register_A!G23</f>
        <v>185000</v>
      </c>
      <c r="D23" s="12" t="str">
        <f t="shared" si="0"/>
        <v>document management upgrade</v>
      </c>
      <c r="E23" s="12" t="str">
        <f>IFERROR(INDEX(Register_B!$A$2:$A$23,MATCH(D23,Register_B!$F$2:$F$23,0)),"NOT FOUND")</f>
        <v>FIN-118</v>
      </c>
      <c r="F23" s="13">
        <f>IF(E23="NOT FOUND","",INDEX(Register_B!$C$2:$C$23,MATCH(E23,Register_B!$A$2:$A$23,0)))</f>
        <v>185000</v>
      </c>
      <c r="G23" s="13">
        <f t="shared" si="1"/>
        <v>0</v>
      </c>
      <c r="H23" s="12" t="str">
        <f t="shared" si="2"/>
        <v>Match</v>
      </c>
    </row>
    <row r="24" spans="1:8" x14ac:dyDescent="0.2">
      <c r="A24" s="9" t="str">
        <f>Register_A!A24</f>
        <v>PRJ-022</v>
      </c>
      <c r="B24" s="9" t="str">
        <f>Register_A!B24</f>
        <v>Data Governance Framework</v>
      </c>
      <c r="C24" s="11">
        <f>Register_A!G24</f>
        <v>185000</v>
      </c>
      <c r="D24" s="12" t="str">
        <f t="shared" si="0"/>
        <v>data governance framework</v>
      </c>
      <c r="E24" s="12" t="str">
        <f>IFERROR(INDEX(Register_B!$A$2:$A$23,MATCH(D24,Register_B!$F$2:$F$23,0)),"NOT FOUND")</f>
        <v>FIN-119</v>
      </c>
      <c r="F24" s="13">
        <f>IF(E24="NOT FOUND","",INDEX(Register_B!$C$2:$C$23,MATCH(E24,Register_B!$A$2:$A$23,0)))</f>
        <v>185000</v>
      </c>
      <c r="G24" s="13">
        <f t="shared" si="1"/>
        <v>0</v>
      </c>
      <c r="H24" s="12" t="str">
        <f t="shared" si="2"/>
        <v>Match</v>
      </c>
    </row>
    <row r="25" spans="1:8" x14ac:dyDescent="0.2">
      <c r="A25" s="9" t="str">
        <f>Register_A!A25</f>
        <v>PRJ-023</v>
      </c>
      <c r="B25" s="9" t="str">
        <f>Register_A!B25</f>
        <v>Electric Vehicle Charging</v>
      </c>
      <c r="C25" s="11">
        <f>Register_A!G25</f>
        <v>130000</v>
      </c>
      <c r="D25" s="12" t="str">
        <f t="shared" si="0"/>
        <v>electric vehicle charging</v>
      </c>
      <c r="E25" s="12" t="str">
        <f>IFERROR(INDEX(Register_B!$A$2:$A$23,MATCH(D25,Register_B!$F$2:$F$23,0)),"NOT FOUND")</f>
        <v>NOT FOUND</v>
      </c>
      <c r="F25" s="13" t="str">
        <f>IF(E25="NOT FOUND","",INDEX(Register_B!$C$2:$C$23,MATCH(E25,Register_B!$A$2:$A$23,0)))</f>
        <v/>
      </c>
      <c r="G25" s="13" t="str">
        <f t="shared" si="1"/>
        <v/>
      </c>
      <c r="H25" s="12" t="str">
        <f t="shared" si="2"/>
        <v>Missing in finance</v>
      </c>
    </row>
    <row r="26" spans="1:8" x14ac:dyDescent="0.2">
      <c r="A26" s="9" t="str">
        <f>Register_A!A26</f>
        <v>PRJ-024</v>
      </c>
      <c r="B26" s="9" t="str">
        <f>Register_A!B26</f>
        <v>Council Meeting Livestream</v>
      </c>
      <c r="C26" s="11">
        <f>Register_A!G26</f>
        <v>435000</v>
      </c>
      <c r="D26" s="12" t="str">
        <f t="shared" si="0"/>
        <v>council meeting livestream</v>
      </c>
      <c r="E26" s="12" t="str">
        <f>IFERROR(INDEX(Register_B!$A$2:$A$23,MATCH(D26,Register_B!$F$2:$F$23,0)),"NOT FOUND")</f>
        <v>NOT FOUND</v>
      </c>
      <c r="F26" s="13" t="str">
        <f>IF(E26="NOT FOUND","",INDEX(Register_B!$C$2:$C$23,MATCH(E26,Register_B!$A$2:$A$23,0)))</f>
        <v/>
      </c>
      <c r="G26" s="13" t="str">
        <f t="shared" si="1"/>
        <v/>
      </c>
      <c r="H26" s="12" t="str">
        <f t="shared" si="2"/>
        <v>Missing in finance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1"/>
  <sheetViews>
    <sheetView topLeftCell="E1" zoomScale="134" zoomScaleNormal="100" workbookViewId="0">
      <pane ySplit="1" topLeftCell="A2" activePane="bottomLeft" state="frozen"/>
      <selection pane="bottomLeft" activeCell="P26" sqref="P26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3" width="16" customWidth="1"/>
    <col min="4" max="4" width="10" customWidth="1"/>
    <col min="5" max="5" width="9" customWidth="1"/>
    <col min="6" max="7" width="12" customWidth="1"/>
    <col min="8" max="8" width="14" customWidth="1"/>
    <col min="9" max="9" width="10" customWidth="1"/>
    <col min="10" max="10" width="11" customWidth="1"/>
    <col min="11" max="12" width="14" customWidth="1"/>
  </cols>
  <sheetData>
    <row r="1" spans="1:12" ht="30" customHeight="1" x14ac:dyDescent="0.2">
      <c r="A1" s="8" t="s">
        <v>155</v>
      </c>
      <c r="B1" s="8" t="s">
        <v>35</v>
      </c>
      <c r="C1" s="8" t="s">
        <v>37</v>
      </c>
      <c r="D1" s="8" t="s">
        <v>227</v>
      </c>
      <c r="E1" s="8" t="s">
        <v>228</v>
      </c>
      <c r="F1" s="8" t="s">
        <v>159</v>
      </c>
      <c r="G1" s="8" t="s">
        <v>42</v>
      </c>
      <c r="H1" s="8" t="s">
        <v>229</v>
      </c>
      <c r="I1" s="8" t="s">
        <v>230</v>
      </c>
      <c r="J1" s="8" t="s">
        <v>231</v>
      </c>
      <c r="K1" s="8" t="s">
        <v>219</v>
      </c>
      <c r="L1" s="8" t="s">
        <v>232</v>
      </c>
    </row>
    <row r="2" spans="1:12" x14ac:dyDescent="0.2">
      <c r="A2" s="9" t="str">
        <f>Risk_Log!A2</f>
        <v>R-001</v>
      </c>
      <c r="B2" s="9" t="str">
        <f>Risk_Log!B2</f>
        <v>PRJ-010</v>
      </c>
      <c r="C2" s="9" t="str">
        <f>IF(Risk_Log!D2="","",Risk_Log!D2)</f>
        <v>Daniel Park</v>
      </c>
      <c r="D2" s="9">
        <f>Risk_Log!E2</f>
        <v>5</v>
      </c>
      <c r="E2" s="9">
        <f>Risk_Log!F2</f>
        <v>5</v>
      </c>
      <c r="F2" s="10">
        <f>Risk_Log!G2</f>
        <v>46357</v>
      </c>
      <c r="G2" s="9" t="str">
        <f>Risk_Log!H2</f>
        <v>Monitoring</v>
      </c>
      <c r="H2" s="12">
        <f>D2*E2</f>
        <v>25</v>
      </c>
      <c r="I2" s="12" t="str">
        <f>IF(H2&gt;=15,"High",IF(H2&gt;=8,"Medium","Low"))</f>
        <v>High</v>
      </c>
      <c r="J2" s="12" t="str">
        <f ca="1">IF(AND(G2&lt;&gt;"Closed",F2&lt;TODAY()),"OVERDUE","OK")</f>
        <v>OK</v>
      </c>
      <c r="K2" s="12" t="str">
        <f>IF(C2="","MISSING","OK")</f>
        <v>OK</v>
      </c>
      <c r="L2" s="12" t="str">
        <f>IF(COUNTIF(Register_A!$A$2:$A$26,B2)=0,"ORPHAN","OK")</f>
        <v>OK</v>
      </c>
    </row>
    <row r="3" spans="1:12" x14ac:dyDescent="0.2">
      <c r="A3" s="9" t="str">
        <f>Risk_Log!A3</f>
        <v>R-002</v>
      </c>
      <c r="B3" s="9" t="str">
        <f>Risk_Log!B3</f>
        <v>PRJ-020</v>
      </c>
      <c r="C3" s="9" t="str">
        <f>IF(Risk_Log!D3="","",Risk_Log!D3)</f>
        <v>James Wilson</v>
      </c>
      <c r="D3" s="9">
        <f>Risk_Log!E3</f>
        <v>1</v>
      </c>
      <c r="E3" s="9">
        <f>Risk_Log!F3</f>
        <v>4</v>
      </c>
      <c r="F3" s="10">
        <f>Risk_Log!G3</f>
        <v>46379</v>
      </c>
      <c r="G3" s="9" t="str">
        <f>Risk_Log!H3</f>
        <v>Open</v>
      </c>
      <c r="H3" s="12">
        <f t="shared" ref="H3:H41" si="0">D3*E3</f>
        <v>4</v>
      </c>
      <c r="I3" s="12" t="str">
        <f t="shared" ref="I3:I41" si="1">IF(H3&gt;=15,"High",IF(H3&gt;=8,"Medium","Low"))</f>
        <v>Low</v>
      </c>
      <c r="J3" s="12" t="str">
        <f t="shared" ref="J3:J41" ca="1" si="2">IF(AND(G3&lt;&gt;"Closed",F3&lt;TODAY()),"OVERDUE","OK")</f>
        <v>OK</v>
      </c>
      <c r="K3" s="12" t="str">
        <f t="shared" ref="K3:K41" si="3">IF(C3="","MISSING","OK")</f>
        <v>OK</v>
      </c>
      <c r="L3" s="12" t="str">
        <f>IF(COUNTIF(Register_A!$A$2:$A$26,B3)=0,"ORPHAN","OK")</f>
        <v>OK</v>
      </c>
    </row>
    <row r="4" spans="1:12" x14ac:dyDescent="0.2">
      <c r="A4" s="9" t="str">
        <f>Risk_Log!A4</f>
        <v>R-003</v>
      </c>
      <c r="B4" s="9" t="str">
        <f>Risk_Log!B4</f>
        <v>PRJ-015</v>
      </c>
      <c r="C4" s="9" t="str">
        <f>IF(Risk_Log!D4="","",Risk_Log!D4)</f>
        <v>Sarah Jones</v>
      </c>
      <c r="D4" s="9">
        <f>Risk_Log!E4</f>
        <v>3</v>
      </c>
      <c r="E4" s="9">
        <f>Risk_Log!F4</f>
        <v>1</v>
      </c>
      <c r="F4" s="10">
        <f>Risk_Log!G4</f>
        <v>46380</v>
      </c>
      <c r="G4" s="9" t="str">
        <f>Risk_Log!H4</f>
        <v>Monitoring</v>
      </c>
      <c r="H4" s="12">
        <f t="shared" si="0"/>
        <v>3</v>
      </c>
      <c r="I4" s="12" t="str">
        <f t="shared" si="1"/>
        <v>Low</v>
      </c>
      <c r="J4" s="12" t="str">
        <f t="shared" ca="1" si="2"/>
        <v>OK</v>
      </c>
      <c r="K4" s="12" t="str">
        <f t="shared" si="3"/>
        <v>OK</v>
      </c>
      <c r="L4" s="12" t="str">
        <f>IF(COUNTIF(Register_A!$A$2:$A$26,B4)=0,"ORPHAN","OK")</f>
        <v>OK</v>
      </c>
    </row>
    <row r="5" spans="1:12" x14ac:dyDescent="0.2">
      <c r="A5" s="9" t="str">
        <f>Risk_Log!A5</f>
        <v>R-004</v>
      </c>
      <c r="B5" s="9" t="str">
        <f>Risk_Log!B5</f>
        <v>PRJ-014</v>
      </c>
      <c r="C5" s="9" t="str">
        <f>IF(Risk_Log!D5="","",Risk_Log!D5)</f>
        <v>James Wilson</v>
      </c>
      <c r="D5" s="9">
        <f>Risk_Log!E5</f>
        <v>2</v>
      </c>
      <c r="E5" s="9">
        <f>Risk_Log!F5</f>
        <v>2</v>
      </c>
      <c r="F5" s="10">
        <f>Risk_Log!G5</f>
        <v>46204</v>
      </c>
      <c r="G5" s="9" t="str">
        <f>Risk_Log!H5</f>
        <v>Open</v>
      </c>
      <c r="H5" s="12">
        <f t="shared" si="0"/>
        <v>4</v>
      </c>
      <c r="I5" s="12" t="str">
        <f t="shared" si="1"/>
        <v>Low</v>
      </c>
      <c r="J5" s="12" t="str">
        <f t="shared" ca="1" si="2"/>
        <v>OVERDUE</v>
      </c>
      <c r="K5" s="12" t="str">
        <f t="shared" si="3"/>
        <v>OK</v>
      </c>
      <c r="L5" s="12" t="str">
        <f>IF(COUNTIF(Register_A!$A$2:$A$26,B5)=0,"ORPHAN","OK")</f>
        <v>OK</v>
      </c>
    </row>
    <row r="6" spans="1:12" x14ac:dyDescent="0.2">
      <c r="A6" s="9" t="str">
        <f>Risk_Log!A6</f>
        <v>R-005</v>
      </c>
      <c r="B6" s="9" t="str">
        <f>Risk_Log!B6</f>
        <v>PRJ-018</v>
      </c>
      <c r="C6" s="9" t="str">
        <f>IF(Risk_Log!D6="","",Risk_Log!D6)</f>
        <v>Mei Chen</v>
      </c>
      <c r="D6" s="9">
        <f>Risk_Log!E6</f>
        <v>5</v>
      </c>
      <c r="E6" s="9">
        <f>Risk_Log!F6</f>
        <v>5</v>
      </c>
      <c r="F6" s="10">
        <f>Risk_Log!G6</f>
        <v>46287</v>
      </c>
      <c r="G6" s="9" t="str">
        <f>Risk_Log!H6</f>
        <v>Open</v>
      </c>
      <c r="H6" s="12">
        <f t="shared" si="0"/>
        <v>25</v>
      </c>
      <c r="I6" s="12" t="str">
        <f t="shared" si="1"/>
        <v>High</v>
      </c>
      <c r="J6" s="12" t="str">
        <f t="shared" ca="1" si="2"/>
        <v>OVERDUE</v>
      </c>
      <c r="K6" s="12" t="str">
        <f t="shared" si="3"/>
        <v>OK</v>
      </c>
      <c r="L6" s="12" t="str">
        <f>IF(COUNTIF(Register_A!$A$2:$A$26,B6)=0,"ORPHAN","OK")</f>
        <v>OK</v>
      </c>
    </row>
    <row r="7" spans="1:12" x14ac:dyDescent="0.2">
      <c r="A7" s="9" t="str">
        <f>Risk_Log!A7</f>
        <v>R-006</v>
      </c>
      <c r="B7" s="9" t="str">
        <f>Risk_Log!B7</f>
        <v>PRJ-031</v>
      </c>
      <c r="C7" s="9" t="str">
        <f>IF(Risk_Log!D7="","",Risk_Log!D7)</f>
        <v/>
      </c>
      <c r="D7" s="9">
        <f>Risk_Log!E7</f>
        <v>2</v>
      </c>
      <c r="E7" s="9">
        <f>Risk_Log!F7</f>
        <v>1</v>
      </c>
      <c r="F7" s="10">
        <f>Risk_Log!G7</f>
        <v>46199</v>
      </c>
      <c r="G7" s="9" t="str">
        <f>Risk_Log!H7</f>
        <v>Open</v>
      </c>
      <c r="H7" s="12">
        <f t="shared" si="0"/>
        <v>2</v>
      </c>
      <c r="I7" s="12" t="str">
        <f t="shared" si="1"/>
        <v>Low</v>
      </c>
      <c r="J7" s="12" t="str">
        <f t="shared" ca="1" si="2"/>
        <v>OVERDUE</v>
      </c>
      <c r="K7" s="12" t="str">
        <f t="shared" si="3"/>
        <v>MISSING</v>
      </c>
      <c r="L7" s="12" t="str">
        <f>IF(COUNTIF(Register_A!$A$2:$A$26,B7)=0,"ORPHAN","OK")</f>
        <v>ORPHAN</v>
      </c>
    </row>
    <row r="8" spans="1:12" x14ac:dyDescent="0.2">
      <c r="A8" s="9" t="str">
        <f>Risk_Log!A8</f>
        <v>R-007</v>
      </c>
      <c r="B8" s="9" t="str">
        <f>Risk_Log!B8</f>
        <v>PRJ-016</v>
      </c>
      <c r="C8" s="9" t="str">
        <f>IF(Risk_Log!D8="","",Risk_Log!D8)</f>
        <v>Sarah Jones</v>
      </c>
      <c r="D8" s="9">
        <f>Risk_Log!E8</f>
        <v>2</v>
      </c>
      <c r="E8" s="9">
        <f>Risk_Log!F8</f>
        <v>2</v>
      </c>
      <c r="F8" s="10">
        <f>Risk_Log!G8</f>
        <v>46182</v>
      </c>
      <c r="G8" s="9" t="str">
        <f>Risk_Log!H8</f>
        <v>Open</v>
      </c>
      <c r="H8" s="12">
        <f t="shared" si="0"/>
        <v>4</v>
      </c>
      <c r="I8" s="12" t="str">
        <f t="shared" si="1"/>
        <v>Low</v>
      </c>
      <c r="J8" s="12" t="str">
        <f t="shared" ca="1" si="2"/>
        <v>OVERDUE</v>
      </c>
      <c r="K8" s="12" t="str">
        <f t="shared" si="3"/>
        <v>OK</v>
      </c>
      <c r="L8" s="12" t="str">
        <f>IF(COUNTIF(Register_A!$A$2:$A$26,B8)=0,"ORPHAN","OK")</f>
        <v>OK</v>
      </c>
    </row>
    <row r="9" spans="1:12" x14ac:dyDescent="0.2">
      <c r="A9" s="9" t="str">
        <f>Risk_Log!A9</f>
        <v>R-008</v>
      </c>
      <c r="B9" s="9" t="str">
        <f>Risk_Log!B9</f>
        <v>PRJ-009</v>
      </c>
      <c r="C9" s="9" t="str">
        <f>IF(Risk_Log!D9="","",Risk_Log!D9)</f>
        <v>Liam O'Brien</v>
      </c>
      <c r="D9" s="9">
        <f>Risk_Log!E9</f>
        <v>5</v>
      </c>
      <c r="E9" s="9">
        <f>Risk_Log!F9</f>
        <v>3</v>
      </c>
      <c r="F9" s="10">
        <f>Risk_Log!G9</f>
        <v>46252</v>
      </c>
      <c r="G9" s="9" t="str">
        <f>Risk_Log!H9</f>
        <v>Monitoring</v>
      </c>
      <c r="H9" s="12">
        <f t="shared" si="0"/>
        <v>15</v>
      </c>
      <c r="I9" s="12" t="str">
        <f t="shared" si="1"/>
        <v>High</v>
      </c>
      <c r="J9" s="12" t="str">
        <f t="shared" ca="1" si="2"/>
        <v>OVERDUE</v>
      </c>
      <c r="K9" s="12" t="str">
        <f t="shared" si="3"/>
        <v>OK</v>
      </c>
      <c r="L9" s="12" t="str">
        <f>IF(COUNTIF(Register_A!$A$2:$A$26,B9)=0,"ORPHAN","OK")</f>
        <v>OK</v>
      </c>
    </row>
    <row r="10" spans="1:12" x14ac:dyDescent="0.2">
      <c r="A10" s="9" t="str">
        <f>Risk_Log!A10</f>
        <v>R-009</v>
      </c>
      <c r="B10" s="9" t="str">
        <f>Risk_Log!B10</f>
        <v>PRJ-005</v>
      </c>
      <c r="C10" s="9" t="str">
        <f>IF(Risk_Log!D10="","",Risk_Log!D10)</f>
        <v>Tom Nguyen</v>
      </c>
      <c r="D10" s="9">
        <f>Risk_Log!E10</f>
        <v>4</v>
      </c>
      <c r="E10" s="9">
        <f>Risk_Log!F10</f>
        <v>5</v>
      </c>
      <c r="F10" s="10">
        <f>Risk_Log!G10</f>
        <v>46373</v>
      </c>
      <c r="G10" s="9" t="str">
        <f>Risk_Log!H10</f>
        <v>Monitoring</v>
      </c>
      <c r="H10" s="12">
        <f t="shared" si="0"/>
        <v>20</v>
      </c>
      <c r="I10" s="12" t="str">
        <f t="shared" si="1"/>
        <v>High</v>
      </c>
      <c r="J10" s="12" t="str">
        <f t="shared" ca="1" si="2"/>
        <v>OK</v>
      </c>
      <c r="K10" s="12" t="str">
        <f t="shared" si="3"/>
        <v>OK</v>
      </c>
      <c r="L10" s="12" t="str">
        <f>IF(COUNTIF(Register_A!$A$2:$A$26,B10)=0,"ORPHAN","OK")</f>
        <v>OK</v>
      </c>
    </row>
    <row r="11" spans="1:12" x14ac:dyDescent="0.2">
      <c r="A11" s="9" t="str">
        <f>Risk_Log!A11</f>
        <v>R-010</v>
      </c>
      <c r="B11" s="9" t="str">
        <f>Risk_Log!B11</f>
        <v>PRJ-016</v>
      </c>
      <c r="C11" s="9" t="str">
        <f>IF(Risk_Log!D11="","",Risk_Log!D11)</f>
        <v/>
      </c>
      <c r="D11" s="9">
        <f>Risk_Log!E11</f>
        <v>2</v>
      </c>
      <c r="E11" s="9">
        <f>Risk_Log!F11</f>
        <v>5</v>
      </c>
      <c r="F11" s="10">
        <f>Risk_Log!G11</f>
        <v>46296</v>
      </c>
      <c r="G11" s="9" t="str">
        <f>Risk_Log!H11</f>
        <v>Monitoring</v>
      </c>
      <c r="H11" s="12">
        <f t="shared" si="0"/>
        <v>10</v>
      </c>
      <c r="I11" s="12" t="str">
        <f t="shared" si="1"/>
        <v>Medium</v>
      </c>
      <c r="J11" s="12" t="str">
        <f t="shared" ca="1" si="2"/>
        <v>OVERDUE</v>
      </c>
      <c r="K11" s="12" t="str">
        <f t="shared" si="3"/>
        <v>MISSING</v>
      </c>
      <c r="L11" s="12" t="str">
        <f>IF(COUNTIF(Register_A!$A$2:$A$26,B11)=0,"ORPHAN","OK")</f>
        <v>OK</v>
      </c>
    </row>
    <row r="12" spans="1:12" x14ac:dyDescent="0.2">
      <c r="A12" s="9" t="str">
        <f>Risk_Log!A12</f>
        <v>R-011</v>
      </c>
      <c r="B12" s="9" t="str">
        <f>Risk_Log!B12</f>
        <v>PRJ-024</v>
      </c>
      <c r="C12" s="9" t="str">
        <f>IF(Risk_Log!D12="","",Risk_Log!D12)</f>
        <v>Priya Sharma</v>
      </c>
      <c r="D12" s="9">
        <f>Risk_Log!E12</f>
        <v>2</v>
      </c>
      <c r="E12" s="9">
        <f>Risk_Log!F12</f>
        <v>2</v>
      </c>
      <c r="F12" s="10">
        <f>Risk_Log!G12</f>
        <v>46219</v>
      </c>
      <c r="G12" s="9" t="str">
        <f>Risk_Log!H12</f>
        <v>Closed</v>
      </c>
      <c r="H12" s="12">
        <f t="shared" si="0"/>
        <v>4</v>
      </c>
      <c r="I12" s="12" t="str">
        <f t="shared" si="1"/>
        <v>Low</v>
      </c>
      <c r="J12" s="12" t="str">
        <f t="shared" ca="1" si="2"/>
        <v>OK</v>
      </c>
      <c r="K12" s="12" t="str">
        <f t="shared" si="3"/>
        <v>OK</v>
      </c>
      <c r="L12" s="12" t="str">
        <f>IF(COUNTIF(Register_A!$A$2:$A$26,B12)=0,"ORPHAN","OK")</f>
        <v>OK</v>
      </c>
    </row>
    <row r="13" spans="1:12" x14ac:dyDescent="0.2">
      <c r="A13" s="9" t="str">
        <f>Risk_Log!A13</f>
        <v>R-012</v>
      </c>
      <c r="B13" s="9" t="str">
        <f>Risk_Log!B13</f>
        <v>PRJ-023</v>
      </c>
      <c r="C13" s="9" t="str">
        <f>IF(Risk_Log!D13="","",Risk_Log!D13)</f>
        <v/>
      </c>
      <c r="D13" s="9">
        <f>Risk_Log!E13</f>
        <v>1</v>
      </c>
      <c r="E13" s="9">
        <f>Risk_Log!F13</f>
        <v>3</v>
      </c>
      <c r="F13" s="10">
        <f>Risk_Log!G13</f>
        <v>46343</v>
      </c>
      <c r="G13" s="9" t="str">
        <f>Risk_Log!H13</f>
        <v>Closed</v>
      </c>
      <c r="H13" s="12">
        <f t="shared" si="0"/>
        <v>3</v>
      </c>
      <c r="I13" s="12" t="str">
        <f t="shared" si="1"/>
        <v>Low</v>
      </c>
      <c r="J13" s="12" t="str">
        <f t="shared" ca="1" si="2"/>
        <v>OK</v>
      </c>
      <c r="K13" s="12" t="str">
        <f t="shared" si="3"/>
        <v>MISSING</v>
      </c>
      <c r="L13" s="12" t="str">
        <f>IF(COUNTIF(Register_A!$A$2:$A$26,B13)=0,"ORPHAN","OK")</f>
        <v>OK</v>
      </c>
    </row>
    <row r="14" spans="1:12" x14ac:dyDescent="0.2">
      <c r="A14" s="9" t="str">
        <f>Risk_Log!A14</f>
        <v>R-013</v>
      </c>
      <c r="B14" s="9" t="str">
        <f>Risk_Log!B14</f>
        <v>PRJ-017</v>
      </c>
      <c r="C14" s="9" t="str">
        <f>IF(Risk_Log!D14="","",Risk_Log!D14)</f>
        <v>James Wilson</v>
      </c>
      <c r="D14" s="9">
        <f>Risk_Log!E14</f>
        <v>5</v>
      </c>
      <c r="E14" s="9">
        <f>Risk_Log!F14</f>
        <v>1</v>
      </c>
      <c r="F14" s="10">
        <f>Risk_Log!G14</f>
        <v>46210</v>
      </c>
      <c r="G14" s="9" t="str">
        <f>Risk_Log!H14</f>
        <v>Open</v>
      </c>
      <c r="H14" s="12">
        <f t="shared" si="0"/>
        <v>5</v>
      </c>
      <c r="I14" s="12" t="str">
        <f t="shared" si="1"/>
        <v>Low</v>
      </c>
      <c r="J14" s="12" t="str">
        <f t="shared" ca="1" si="2"/>
        <v>OVERDUE</v>
      </c>
      <c r="K14" s="12" t="str">
        <f t="shared" si="3"/>
        <v>OK</v>
      </c>
      <c r="L14" s="12" t="str">
        <f>IF(COUNTIF(Register_A!$A$2:$A$26,B14)=0,"ORPHAN","OK")</f>
        <v>OK</v>
      </c>
    </row>
    <row r="15" spans="1:12" x14ac:dyDescent="0.2">
      <c r="A15" s="9" t="str">
        <f>Risk_Log!A15</f>
        <v>R-014</v>
      </c>
      <c r="B15" s="9" t="str">
        <f>Risk_Log!B15</f>
        <v>PRJ-002</v>
      </c>
      <c r="C15" s="9" t="str">
        <f>IF(Risk_Log!D15="","",Risk_Log!D15)</f>
        <v/>
      </c>
      <c r="D15" s="9">
        <f>Risk_Log!E15</f>
        <v>4</v>
      </c>
      <c r="E15" s="9">
        <f>Risk_Log!F15</f>
        <v>5</v>
      </c>
      <c r="F15" s="10">
        <f>Risk_Log!G15</f>
        <v>46198</v>
      </c>
      <c r="G15" s="9" t="str">
        <f>Risk_Log!H15</f>
        <v>Open</v>
      </c>
      <c r="H15" s="12">
        <f t="shared" si="0"/>
        <v>20</v>
      </c>
      <c r="I15" s="12" t="str">
        <f t="shared" si="1"/>
        <v>High</v>
      </c>
      <c r="J15" s="12" t="str">
        <f t="shared" ca="1" si="2"/>
        <v>OVERDUE</v>
      </c>
      <c r="K15" s="12" t="str">
        <f t="shared" si="3"/>
        <v>MISSING</v>
      </c>
      <c r="L15" s="12" t="str">
        <f>IF(COUNTIF(Register_A!$A$2:$A$26,B15)=0,"ORPHAN","OK")</f>
        <v>OK</v>
      </c>
    </row>
    <row r="16" spans="1:12" x14ac:dyDescent="0.2">
      <c r="A16" s="9" t="str">
        <f>Risk_Log!A16</f>
        <v>R-015</v>
      </c>
      <c r="B16" s="9" t="str">
        <f>Risk_Log!B16</f>
        <v>PRJ-014</v>
      </c>
      <c r="C16" s="9" t="str">
        <f>IF(Risk_Log!D16="","",Risk_Log!D16)</f>
        <v/>
      </c>
      <c r="D16" s="9">
        <f>Risk_Log!E16</f>
        <v>5</v>
      </c>
      <c r="E16" s="9">
        <f>Risk_Log!F16</f>
        <v>5</v>
      </c>
      <c r="F16" s="10">
        <f>Risk_Log!G16</f>
        <v>46226</v>
      </c>
      <c r="G16" s="9" t="str">
        <f>Risk_Log!H16</f>
        <v>Open</v>
      </c>
      <c r="H16" s="12">
        <f t="shared" si="0"/>
        <v>25</v>
      </c>
      <c r="I16" s="12" t="str">
        <f t="shared" si="1"/>
        <v>High</v>
      </c>
      <c r="J16" s="12" t="str">
        <f t="shared" ca="1" si="2"/>
        <v>OVERDUE</v>
      </c>
      <c r="K16" s="12" t="str">
        <f t="shared" si="3"/>
        <v>MISSING</v>
      </c>
      <c r="L16" s="12" t="str">
        <f>IF(COUNTIF(Register_A!$A$2:$A$26,B16)=0,"ORPHAN","OK")</f>
        <v>OK</v>
      </c>
    </row>
    <row r="17" spans="1:12" x14ac:dyDescent="0.2">
      <c r="A17" s="9" t="str">
        <f>Risk_Log!A17</f>
        <v>R-016</v>
      </c>
      <c r="B17" s="9" t="str">
        <f>Risk_Log!B17</f>
        <v>PRJ-014</v>
      </c>
      <c r="C17" s="9" t="str">
        <f>IF(Risk_Log!D17="","",Risk_Log!D17)</f>
        <v/>
      </c>
      <c r="D17" s="9">
        <f>Risk_Log!E17</f>
        <v>4</v>
      </c>
      <c r="E17" s="9">
        <f>Risk_Log!F17</f>
        <v>5</v>
      </c>
      <c r="F17" s="10">
        <f>Risk_Log!G17</f>
        <v>46226</v>
      </c>
      <c r="G17" s="9" t="str">
        <f>Risk_Log!H17</f>
        <v>Closed</v>
      </c>
      <c r="H17" s="12">
        <f t="shared" si="0"/>
        <v>20</v>
      </c>
      <c r="I17" s="12" t="str">
        <f t="shared" si="1"/>
        <v>High</v>
      </c>
      <c r="J17" s="12" t="str">
        <f t="shared" ca="1" si="2"/>
        <v>OK</v>
      </c>
      <c r="K17" s="12" t="str">
        <f t="shared" si="3"/>
        <v>MISSING</v>
      </c>
      <c r="L17" s="12" t="str">
        <f>IF(COUNTIF(Register_A!$A$2:$A$26,B17)=0,"ORPHAN","OK")</f>
        <v>OK</v>
      </c>
    </row>
    <row r="18" spans="1:12" x14ac:dyDescent="0.2">
      <c r="A18" s="9" t="str">
        <f>Risk_Log!A18</f>
        <v>R-017</v>
      </c>
      <c r="B18" s="9" t="str">
        <f>Risk_Log!B18</f>
        <v>PRJ-009</v>
      </c>
      <c r="C18" s="9" t="str">
        <f>IF(Risk_Log!D18="","",Risk_Log!D18)</f>
        <v>Liam O'Brien</v>
      </c>
      <c r="D18" s="9">
        <f>Risk_Log!E18</f>
        <v>4</v>
      </c>
      <c r="E18" s="9">
        <f>Risk_Log!F18</f>
        <v>2</v>
      </c>
      <c r="F18" s="10">
        <f>Risk_Log!G18</f>
        <v>46269</v>
      </c>
      <c r="G18" s="9" t="str">
        <f>Risk_Log!H18</f>
        <v>Monitoring</v>
      </c>
      <c r="H18" s="12">
        <f t="shared" si="0"/>
        <v>8</v>
      </c>
      <c r="I18" s="12" t="str">
        <f t="shared" si="1"/>
        <v>Medium</v>
      </c>
      <c r="J18" s="12" t="str">
        <f t="shared" ca="1" si="2"/>
        <v>OVERDUE</v>
      </c>
      <c r="K18" s="12" t="str">
        <f t="shared" si="3"/>
        <v>OK</v>
      </c>
      <c r="L18" s="12" t="str">
        <f>IF(COUNTIF(Register_A!$A$2:$A$26,B18)=0,"ORPHAN","OK")</f>
        <v>OK</v>
      </c>
    </row>
    <row r="19" spans="1:12" x14ac:dyDescent="0.2">
      <c r="A19" s="9" t="str">
        <f>Risk_Log!A19</f>
        <v>R-018</v>
      </c>
      <c r="B19" s="9" t="str">
        <f>Risk_Log!B19</f>
        <v>PRJ-014</v>
      </c>
      <c r="C19" s="9" t="str">
        <f>IF(Risk_Log!D19="","",Risk_Log!D19)</f>
        <v>James Wilson</v>
      </c>
      <c r="D19" s="9">
        <f>Risk_Log!E19</f>
        <v>2</v>
      </c>
      <c r="E19" s="9">
        <f>Risk_Log!F19</f>
        <v>4</v>
      </c>
      <c r="F19" s="10">
        <f>Risk_Log!G19</f>
        <v>46180</v>
      </c>
      <c r="G19" s="9" t="str">
        <f>Risk_Log!H19</f>
        <v>Open</v>
      </c>
      <c r="H19" s="12">
        <f t="shared" si="0"/>
        <v>8</v>
      </c>
      <c r="I19" s="12" t="str">
        <f t="shared" si="1"/>
        <v>Medium</v>
      </c>
      <c r="J19" s="12" t="str">
        <f t="shared" ca="1" si="2"/>
        <v>OVERDUE</v>
      </c>
      <c r="K19" s="12" t="str">
        <f t="shared" si="3"/>
        <v>OK</v>
      </c>
      <c r="L19" s="12" t="str">
        <f>IF(COUNTIF(Register_A!$A$2:$A$26,B19)=0,"ORPHAN","OK")</f>
        <v>OK</v>
      </c>
    </row>
    <row r="20" spans="1:12" x14ac:dyDescent="0.2">
      <c r="A20" s="9" t="str">
        <f>Risk_Log!A20</f>
        <v>R-019</v>
      </c>
      <c r="B20" s="9" t="str">
        <f>Risk_Log!B20</f>
        <v>PRJ-004</v>
      </c>
      <c r="C20" s="9" t="str">
        <f>IF(Risk_Log!D20="","",Risk_Log!D20)</f>
        <v>Tom Nguyen</v>
      </c>
      <c r="D20" s="9">
        <f>Risk_Log!E20</f>
        <v>2</v>
      </c>
      <c r="E20" s="9">
        <f>Risk_Log!F20</f>
        <v>3</v>
      </c>
      <c r="F20" s="10">
        <f>Risk_Log!G20</f>
        <v>46218</v>
      </c>
      <c r="G20" s="9" t="str">
        <f>Risk_Log!H20</f>
        <v>Open</v>
      </c>
      <c r="H20" s="12">
        <f t="shared" si="0"/>
        <v>6</v>
      </c>
      <c r="I20" s="12" t="str">
        <f t="shared" si="1"/>
        <v>Low</v>
      </c>
      <c r="J20" s="12" t="str">
        <f t="shared" ca="1" si="2"/>
        <v>OVERDUE</v>
      </c>
      <c r="K20" s="12" t="str">
        <f t="shared" si="3"/>
        <v>OK</v>
      </c>
      <c r="L20" s="12" t="str">
        <f>IF(COUNTIF(Register_A!$A$2:$A$26,B20)=0,"ORPHAN","OK")</f>
        <v>OK</v>
      </c>
    </row>
    <row r="21" spans="1:12" x14ac:dyDescent="0.2">
      <c r="A21" s="9" t="str">
        <f>Risk_Log!A21</f>
        <v>R-020</v>
      </c>
      <c r="B21" s="9" t="str">
        <f>Risk_Log!B21</f>
        <v>PRJ-023</v>
      </c>
      <c r="C21" s="9" t="str">
        <f>IF(Risk_Log!D21="","",Risk_Log!D21)</f>
        <v>Sarah Jones</v>
      </c>
      <c r="D21" s="9">
        <f>Risk_Log!E21</f>
        <v>4</v>
      </c>
      <c r="E21" s="9">
        <f>Risk_Log!F21</f>
        <v>2</v>
      </c>
      <c r="F21" s="10">
        <f>Risk_Log!G21</f>
        <v>46353</v>
      </c>
      <c r="G21" s="9" t="str">
        <f>Risk_Log!H21</f>
        <v>Open</v>
      </c>
      <c r="H21" s="12">
        <f t="shared" si="0"/>
        <v>8</v>
      </c>
      <c r="I21" s="12" t="str">
        <f t="shared" si="1"/>
        <v>Medium</v>
      </c>
      <c r="J21" s="12" t="str">
        <f t="shared" ca="1" si="2"/>
        <v>OK</v>
      </c>
      <c r="K21" s="12" t="str">
        <f t="shared" si="3"/>
        <v>OK</v>
      </c>
      <c r="L21" s="12" t="str">
        <f>IF(COUNTIF(Register_A!$A$2:$A$26,B21)=0,"ORPHAN","OK")</f>
        <v>OK</v>
      </c>
    </row>
    <row r="22" spans="1:12" x14ac:dyDescent="0.2">
      <c r="A22" s="9" t="str">
        <f>Risk_Log!A22</f>
        <v>R-021</v>
      </c>
      <c r="B22" s="9" t="str">
        <f>Risk_Log!B22</f>
        <v>PRJ-006</v>
      </c>
      <c r="C22" s="9" t="str">
        <f>IF(Risk_Log!D22="","",Risk_Log!D22)</f>
        <v/>
      </c>
      <c r="D22" s="9">
        <f>Risk_Log!E22</f>
        <v>4</v>
      </c>
      <c r="E22" s="9">
        <f>Risk_Log!F22</f>
        <v>3</v>
      </c>
      <c r="F22" s="10">
        <f>Risk_Log!G22</f>
        <v>46272</v>
      </c>
      <c r="G22" s="9" t="str">
        <f>Risk_Log!H22</f>
        <v>Open</v>
      </c>
      <c r="H22" s="12">
        <f t="shared" si="0"/>
        <v>12</v>
      </c>
      <c r="I22" s="12" t="str">
        <f t="shared" si="1"/>
        <v>Medium</v>
      </c>
      <c r="J22" s="12" t="str">
        <f t="shared" ca="1" si="2"/>
        <v>OVERDUE</v>
      </c>
      <c r="K22" s="12" t="str">
        <f t="shared" si="3"/>
        <v>MISSING</v>
      </c>
      <c r="L22" s="12" t="str">
        <f>IF(COUNTIF(Register_A!$A$2:$A$26,B22)=0,"ORPHAN","OK")</f>
        <v>OK</v>
      </c>
    </row>
    <row r="23" spans="1:12" x14ac:dyDescent="0.2">
      <c r="A23" s="9" t="str">
        <f>Risk_Log!A23</f>
        <v>R-022</v>
      </c>
      <c r="B23" s="9" t="str">
        <f>Risk_Log!B23</f>
        <v>PRJ-010</v>
      </c>
      <c r="C23" s="9" t="str">
        <f>IF(Risk_Log!D23="","",Risk_Log!D23)</f>
        <v>Tom Nguyen</v>
      </c>
      <c r="D23" s="9">
        <f>Risk_Log!E23</f>
        <v>1</v>
      </c>
      <c r="E23" s="9">
        <f>Risk_Log!F23</f>
        <v>3</v>
      </c>
      <c r="F23" s="10">
        <f>Risk_Log!G23</f>
        <v>46310</v>
      </c>
      <c r="G23" s="9" t="str">
        <f>Risk_Log!H23</f>
        <v>Monitoring</v>
      </c>
      <c r="H23" s="12">
        <f t="shared" si="0"/>
        <v>3</v>
      </c>
      <c r="I23" s="12" t="str">
        <f t="shared" si="1"/>
        <v>Low</v>
      </c>
      <c r="J23" s="12" t="str">
        <f t="shared" ca="1" si="2"/>
        <v>OK</v>
      </c>
      <c r="K23" s="12" t="str">
        <f t="shared" si="3"/>
        <v>OK</v>
      </c>
      <c r="L23" s="12" t="str">
        <f>IF(COUNTIF(Register_A!$A$2:$A$26,B23)=0,"ORPHAN","OK")</f>
        <v>OK</v>
      </c>
    </row>
    <row r="24" spans="1:12" x14ac:dyDescent="0.2">
      <c r="A24" s="9" t="str">
        <f>Risk_Log!A24</f>
        <v>R-023</v>
      </c>
      <c r="B24" s="9" t="str">
        <f>Risk_Log!B24</f>
        <v>PRJ-045</v>
      </c>
      <c r="C24" s="9" t="str">
        <f>IF(Risk_Log!D24="","",Risk_Log!D24)</f>
        <v>Sarah Jones</v>
      </c>
      <c r="D24" s="9">
        <f>Risk_Log!E24</f>
        <v>3</v>
      </c>
      <c r="E24" s="9">
        <f>Risk_Log!F24</f>
        <v>5</v>
      </c>
      <c r="F24" s="10">
        <f>Risk_Log!G24</f>
        <v>46305</v>
      </c>
      <c r="G24" s="9" t="str">
        <f>Risk_Log!H24</f>
        <v>Closed</v>
      </c>
      <c r="H24" s="12">
        <f t="shared" si="0"/>
        <v>15</v>
      </c>
      <c r="I24" s="12" t="str">
        <f t="shared" si="1"/>
        <v>High</v>
      </c>
      <c r="J24" s="12" t="str">
        <f t="shared" ca="1" si="2"/>
        <v>OK</v>
      </c>
      <c r="K24" s="12" t="str">
        <f t="shared" si="3"/>
        <v>OK</v>
      </c>
      <c r="L24" s="12" t="str">
        <f>IF(COUNTIF(Register_A!$A$2:$A$26,B24)=0,"ORPHAN","OK")</f>
        <v>ORPHAN</v>
      </c>
    </row>
    <row r="25" spans="1:12" x14ac:dyDescent="0.2">
      <c r="A25" s="9" t="str">
        <f>Risk_Log!A25</f>
        <v>R-024</v>
      </c>
      <c r="B25" s="9" t="str">
        <f>Risk_Log!B25</f>
        <v>PRJ-003</v>
      </c>
      <c r="C25" s="9" t="str">
        <f>IF(Risk_Log!D25="","",Risk_Log!D25)</f>
        <v>Liam O'Brien</v>
      </c>
      <c r="D25" s="9">
        <f>Risk_Log!E25</f>
        <v>1</v>
      </c>
      <c r="E25" s="9">
        <f>Risk_Log!F25</f>
        <v>1</v>
      </c>
      <c r="F25" s="10">
        <f>Risk_Log!G25</f>
        <v>46243</v>
      </c>
      <c r="G25" s="9" t="str">
        <f>Risk_Log!H25</f>
        <v>Open</v>
      </c>
      <c r="H25" s="12">
        <f t="shared" si="0"/>
        <v>1</v>
      </c>
      <c r="I25" s="12" t="str">
        <f t="shared" si="1"/>
        <v>Low</v>
      </c>
      <c r="J25" s="12" t="str">
        <f t="shared" ca="1" si="2"/>
        <v>OVERDUE</v>
      </c>
      <c r="K25" s="12" t="str">
        <f t="shared" si="3"/>
        <v>OK</v>
      </c>
      <c r="L25" s="12" t="str">
        <f>IF(COUNTIF(Register_A!$A$2:$A$26,B25)=0,"ORPHAN","OK")</f>
        <v>OK</v>
      </c>
    </row>
    <row r="26" spans="1:12" x14ac:dyDescent="0.2">
      <c r="A26" s="9" t="str">
        <f>Risk_Log!A26</f>
        <v>R-025</v>
      </c>
      <c r="B26" s="9" t="str">
        <f>Risk_Log!B26</f>
        <v>PRJ-024</v>
      </c>
      <c r="C26" s="9" t="str">
        <f>IF(Risk_Log!D26="","",Risk_Log!D26)</f>
        <v>Aisha Khan</v>
      </c>
      <c r="D26" s="9">
        <f>Risk_Log!E26</f>
        <v>2</v>
      </c>
      <c r="E26" s="9">
        <f>Risk_Log!F26</f>
        <v>4</v>
      </c>
      <c r="F26" s="10">
        <f>Risk_Log!G26</f>
        <v>46378</v>
      </c>
      <c r="G26" s="9" t="str">
        <f>Risk_Log!H26</f>
        <v>Open</v>
      </c>
      <c r="H26" s="12">
        <f t="shared" si="0"/>
        <v>8</v>
      </c>
      <c r="I26" s="12" t="str">
        <f t="shared" si="1"/>
        <v>Medium</v>
      </c>
      <c r="J26" s="12" t="str">
        <f t="shared" ca="1" si="2"/>
        <v>OK</v>
      </c>
      <c r="K26" s="12" t="str">
        <f t="shared" si="3"/>
        <v>OK</v>
      </c>
      <c r="L26" s="12" t="str">
        <f>IF(COUNTIF(Register_A!$A$2:$A$26,B26)=0,"ORPHAN","OK")</f>
        <v>OK</v>
      </c>
    </row>
    <row r="27" spans="1:12" x14ac:dyDescent="0.2">
      <c r="A27" s="9" t="str">
        <f>Risk_Log!A27</f>
        <v>R-026</v>
      </c>
      <c r="B27" s="9" t="str">
        <f>Risk_Log!B27</f>
        <v>PRJ-012</v>
      </c>
      <c r="C27" s="9" t="str">
        <f>IF(Risk_Log!D27="","",Risk_Log!D27)</f>
        <v/>
      </c>
      <c r="D27" s="9">
        <f>Risk_Log!E27</f>
        <v>5</v>
      </c>
      <c r="E27" s="9">
        <f>Risk_Log!F27</f>
        <v>5</v>
      </c>
      <c r="F27" s="10">
        <f>Risk_Log!G27</f>
        <v>46288</v>
      </c>
      <c r="G27" s="9" t="str">
        <f>Risk_Log!H27</f>
        <v>Open</v>
      </c>
      <c r="H27" s="12">
        <f t="shared" si="0"/>
        <v>25</v>
      </c>
      <c r="I27" s="12" t="str">
        <f t="shared" si="1"/>
        <v>High</v>
      </c>
      <c r="J27" s="12" t="str">
        <f t="shared" ca="1" si="2"/>
        <v>OVERDUE</v>
      </c>
      <c r="K27" s="12" t="str">
        <f t="shared" si="3"/>
        <v>MISSING</v>
      </c>
      <c r="L27" s="12" t="str">
        <f>IF(COUNTIF(Register_A!$A$2:$A$26,B27)=0,"ORPHAN","OK")</f>
        <v>OK</v>
      </c>
    </row>
    <row r="28" spans="1:12" x14ac:dyDescent="0.2">
      <c r="A28" s="9" t="str">
        <f>Risk_Log!A28</f>
        <v>R-027</v>
      </c>
      <c r="B28" s="9" t="str">
        <f>Risk_Log!B28</f>
        <v>PRJ-003</v>
      </c>
      <c r="C28" s="9" t="str">
        <f>IF(Risk_Log!D28="","",Risk_Log!D28)</f>
        <v>Priya Sharma</v>
      </c>
      <c r="D28" s="9">
        <f>Risk_Log!E28</f>
        <v>2</v>
      </c>
      <c r="E28" s="9">
        <f>Risk_Log!F28</f>
        <v>4</v>
      </c>
      <c r="F28" s="10">
        <f>Risk_Log!G28</f>
        <v>46182</v>
      </c>
      <c r="G28" s="9" t="str">
        <f>Risk_Log!H28</f>
        <v>Open</v>
      </c>
      <c r="H28" s="12">
        <f t="shared" si="0"/>
        <v>8</v>
      </c>
      <c r="I28" s="12" t="str">
        <f t="shared" si="1"/>
        <v>Medium</v>
      </c>
      <c r="J28" s="12" t="str">
        <f t="shared" ca="1" si="2"/>
        <v>OVERDUE</v>
      </c>
      <c r="K28" s="12" t="str">
        <f t="shared" si="3"/>
        <v>OK</v>
      </c>
      <c r="L28" s="12" t="str">
        <f>IF(COUNTIF(Register_A!$A$2:$A$26,B28)=0,"ORPHAN","OK")</f>
        <v>OK</v>
      </c>
    </row>
    <row r="29" spans="1:12" x14ac:dyDescent="0.2">
      <c r="A29" s="9" t="str">
        <f>Risk_Log!A29</f>
        <v>R-028</v>
      </c>
      <c r="B29" s="9" t="str">
        <f>Risk_Log!B29</f>
        <v>PRJ-020</v>
      </c>
      <c r="C29" s="9" t="str">
        <f>IF(Risk_Log!D29="","",Risk_Log!D29)</f>
        <v>Aisha Khan</v>
      </c>
      <c r="D29" s="9">
        <f>Risk_Log!E29</f>
        <v>1</v>
      </c>
      <c r="E29" s="9">
        <f>Risk_Log!F29</f>
        <v>5</v>
      </c>
      <c r="F29" s="10">
        <f>Risk_Log!G29</f>
        <v>46364</v>
      </c>
      <c r="G29" s="9" t="str">
        <f>Risk_Log!H29</f>
        <v>Open</v>
      </c>
      <c r="H29" s="12">
        <f t="shared" si="0"/>
        <v>5</v>
      </c>
      <c r="I29" s="12" t="str">
        <f t="shared" si="1"/>
        <v>Low</v>
      </c>
      <c r="J29" s="12" t="str">
        <f t="shared" ca="1" si="2"/>
        <v>OK</v>
      </c>
      <c r="K29" s="12" t="str">
        <f t="shared" si="3"/>
        <v>OK</v>
      </c>
      <c r="L29" s="12" t="str">
        <f>IF(COUNTIF(Register_A!$A$2:$A$26,B29)=0,"ORPHAN","OK")</f>
        <v>OK</v>
      </c>
    </row>
    <row r="30" spans="1:12" x14ac:dyDescent="0.2">
      <c r="A30" s="9" t="str">
        <f>Risk_Log!A30</f>
        <v>R-029</v>
      </c>
      <c r="B30" s="9" t="str">
        <f>Risk_Log!B30</f>
        <v>PRJ-009</v>
      </c>
      <c r="C30" s="9" t="str">
        <f>IF(Risk_Log!D30="","",Risk_Log!D30)</f>
        <v>Daniel Park</v>
      </c>
      <c r="D30" s="9">
        <f>Risk_Log!E30</f>
        <v>1</v>
      </c>
      <c r="E30" s="9">
        <f>Risk_Log!F30</f>
        <v>3</v>
      </c>
      <c r="F30" s="10">
        <f>Risk_Log!G30</f>
        <v>46309</v>
      </c>
      <c r="G30" s="9" t="str">
        <f>Risk_Log!H30</f>
        <v>Open</v>
      </c>
      <c r="H30" s="12">
        <f t="shared" si="0"/>
        <v>3</v>
      </c>
      <c r="I30" s="12" t="str">
        <f t="shared" si="1"/>
        <v>Low</v>
      </c>
      <c r="J30" s="12" t="str">
        <f t="shared" ca="1" si="2"/>
        <v>OK</v>
      </c>
      <c r="K30" s="12" t="str">
        <f t="shared" si="3"/>
        <v>OK</v>
      </c>
      <c r="L30" s="12" t="str">
        <f>IF(COUNTIF(Register_A!$A$2:$A$26,B30)=0,"ORPHAN","OK")</f>
        <v>OK</v>
      </c>
    </row>
    <row r="31" spans="1:12" x14ac:dyDescent="0.2">
      <c r="A31" s="9" t="str">
        <f>Risk_Log!A31</f>
        <v>R-030</v>
      </c>
      <c r="B31" s="9" t="str">
        <f>Risk_Log!B31</f>
        <v>PRJ-019</v>
      </c>
      <c r="C31" s="9" t="str">
        <f>IF(Risk_Log!D31="","",Risk_Log!D31)</f>
        <v>Priya Sharma</v>
      </c>
      <c r="D31" s="9">
        <f>Risk_Log!E31</f>
        <v>5</v>
      </c>
      <c r="E31" s="9">
        <f>Risk_Log!F31</f>
        <v>2</v>
      </c>
      <c r="F31" s="10">
        <f>Risk_Log!G31</f>
        <v>46179</v>
      </c>
      <c r="G31" s="9" t="str">
        <f>Risk_Log!H31</f>
        <v>Open</v>
      </c>
      <c r="H31" s="12">
        <f t="shared" si="0"/>
        <v>10</v>
      </c>
      <c r="I31" s="12" t="str">
        <f t="shared" si="1"/>
        <v>Medium</v>
      </c>
      <c r="J31" s="12" t="str">
        <f t="shared" ca="1" si="2"/>
        <v>OVERDUE</v>
      </c>
      <c r="K31" s="12" t="str">
        <f t="shared" si="3"/>
        <v>OK</v>
      </c>
      <c r="L31" s="12" t="str">
        <f>IF(COUNTIF(Register_A!$A$2:$A$26,B31)=0,"ORPHAN","OK")</f>
        <v>OK</v>
      </c>
    </row>
    <row r="32" spans="1:12" x14ac:dyDescent="0.2">
      <c r="A32" s="9" t="str">
        <f>Risk_Log!A32</f>
        <v>R-031</v>
      </c>
      <c r="B32" s="9" t="str">
        <f>Risk_Log!B32</f>
        <v>PRJ-002</v>
      </c>
      <c r="C32" s="9" t="str">
        <f>IF(Risk_Log!D32="","",Risk_Log!D32)</f>
        <v>Liam O'Brien</v>
      </c>
      <c r="D32" s="9">
        <f>Risk_Log!E32</f>
        <v>3</v>
      </c>
      <c r="E32" s="9">
        <f>Risk_Log!F32</f>
        <v>3</v>
      </c>
      <c r="F32" s="10">
        <f>Risk_Log!G32</f>
        <v>46320</v>
      </c>
      <c r="G32" s="9" t="str">
        <f>Risk_Log!H32</f>
        <v>Open</v>
      </c>
      <c r="H32" s="12">
        <f t="shared" si="0"/>
        <v>9</v>
      </c>
      <c r="I32" s="12" t="str">
        <f t="shared" si="1"/>
        <v>Medium</v>
      </c>
      <c r="J32" s="12" t="str">
        <f t="shared" ca="1" si="2"/>
        <v>OK</v>
      </c>
      <c r="K32" s="12" t="str">
        <f t="shared" si="3"/>
        <v>OK</v>
      </c>
      <c r="L32" s="12" t="str">
        <f>IF(COUNTIF(Register_A!$A$2:$A$26,B32)=0,"ORPHAN","OK")</f>
        <v>OK</v>
      </c>
    </row>
    <row r="33" spans="1:12" x14ac:dyDescent="0.2">
      <c r="A33" s="9" t="str">
        <f>Risk_Log!A33</f>
        <v>R-032</v>
      </c>
      <c r="B33" s="9" t="str">
        <f>Risk_Log!B33</f>
        <v>PRJ-009</v>
      </c>
      <c r="C33" s="9" t="str">
        <f>IF(Risk_Log!D33="","",Risk_Log!D33)</f>
        <v/>
      </c>
      <c r="D33" s="9">
        <f>Risk_Log!E33</f>
        <v>2</v>
      </c>
      <c r="E33" s="9">
        <f>Risk_Log!F33</f>
        <v>3</v>
      </c>
      <c r="F33" s="10">
        <f>Risk_Log!G33</f>
        <v>46260</v>
      </c>
      <c r="G33" s="9" t="str">
        <f>Risk_Log!H33</f>
        <v>Open</v>
      </c>
      <c r="H33" s="12">
        <f t="shared" si="0"/>
        <v>6</v>
      </c>
      <c r="I33" s="12" t="str">
        <f t="shared" si="1"/>
        <v>Low</v>
      </c>
      <c r="J33" s="12" t="str">
        <f t="shared" ca="1" si="2"/>
        <v>OVERDUE</v>
      </c>
      <c r="K33" s="12" t="str">
        <f t="shared" si="3"/>
        <v>MISSING</v>
      </c>
      <c r="L33" s="12" t="str">
        <f>IF(COUNTIF(Register_A!$A$2:$A$26,B33)=0,"ORPHAN","OK")</f>
        <v>OK</v>
      </c>
    </row>
    <row r="34" spans="1:12" x14ac:dyDescent="0.2">
      <c r="A34" s="9" t="str">
        <f>Risk_Log!A34</f>
        <v>R-033</v>
      </c>
      <c r="B34" s="9" t="str">
        <f>Risk_Log!B34</f>
        <v>PRJ-009</v>
      </c>
      <c r="C34" s="9" t="str">
        <f>IF(Risk_Log!D34="","",Risk_Log!D34)</f>
        <v>Priya Sharma</v>
      </c>
      <c r="D34" s="9">
        <f>Risk_Log!E34</f>
        <v>1</v>
      </c>
      <c r="E34" s="9">
        <f>Risk_Log!F34</f>
        <v>5</v>
      </c>
      <c r="F34" s="10">
        <f>Risk_Log!G34</f>
        <v>46302</v>
      </c>
      <c r="G34" s="9" t="str">
        <f>Risk_Log!H34</f>
        <v>Closed</v>
      </c>
      <c r="H34" s="12">
        <f t="shared" si="0"/>
        <v>5</v>
      </c>
      <c r="I34" s="12" t="str">
        <f t="shared" si="1"/>
        <v>Low</v>
      </c>
      <c r="J34" s="12" t="str">
        <f t="shared" ca="1" si="2"/>
        <v>OK</v>
      </c>
      <c r="K34" s="12" t="str">
        <f t="shared" si="3"/>
        <v>OK</v>
      </c>
      <c r="L34" s="12" t="str">
        <f>IF(COUNTIF(Register_A!$A$2:$A$26,B34)=0,"ORPHAN","OK")</f>
        <v>OK</v>
      </c>
    </row>
    <row r="35" spans="1:12" x14ac:dyDescent="0.2">
      <c r="A35" s="9" t="str">
        <f>Risk_Log!A35</f>
        <v>R-034</v>
      </c>
      <c r="B35" s="9" t="str">
        <f>Risk_Log!B35</f>
        <v>PRJ-015</v>
      </c>
      <c r="C35" s="9" t="str">
        <f>IF(Risk_Log!D35="","",Risk_Log!D35)</f>
        <v>Daniel Park</v>
      </c>
      <c r="D35" s="9">
        <f>Risk_Log!E35</f>
        <v>1</v>
      </c>
      <c r="E35" s="9">
        <f>Risk_Log!F35</f>
        <v>4</v>
      </c>
      <c r="F35" s="10">
        <f>Risk_Log!G35</f>
        <v>46342</v>
      </c>
      <c r="G35" s="9" t="str">
        <f>Risk_Log!H35</f>
        <v>Closed</v>
      </c>
      <c r="H35" s="12">
        <f t="shared" si="0"/>
        <v>4</v>
      </c>
      <c r="I35" s="12" t="str">
        <f t="shared" si="1"/>
        <v>Low</v>
      </c>
      <c r="J35" s="12" t="str">
        <f t="shared" ca="1" si="2"/>
        <v>OK</v>
      </c>
      <c r="K35" s="12" t="str">
        <f t="shared" si="3"/>
        <v>OK</v>
      </c>
      <c r="L35" s="12" t="str">
        <f>IF(COUNTIF(Register_A!$A$2:$A$26,B35)=0,"ORPHAN","OK")</f>
        <v>OK</v>
      </c>
    </row>
    <row r="36" spans="1:12" x14ac:dyDescent="0.2">
      <c r="A36" s="9" t="str">
        <f>Risk_Log!A36</f>
        <v>R-035</v>
      </c>
      <c r="B36" s="9" t="str">
        <f>Risk_Log!B36</f>
        <v>PRJ-012</v>
      </c>
      <c r="C36" s="9" t="str">
        <f>IF(Risk_Log!D36="","",Risk_Log!D36)</f>
        <v>Aisha Khan</v>
      </c>
      <c r="D36" s="9">
        <f>Risk_Log!E36</f>
        <v>2</v>
      </c>
      <c r="E36" s="9">
        <f>Risk_Log!F36</f>
        <v>2</v>
      </c>
      <c r="F36" s="10">
        <f>Risk_Log!G36</f>
        <v>46241</v>
      </c>
      <c r="G36" s="9" t="str">
        <f>Risk_Log!H36</f>
        <v>Open</v>
      </c>
      <c r="H36" s="12">
        <f t="shared" si="0"/>
        <v>4</v>
      </c>
      <c r="I36" s="12" t="str">
        <f t="shared" si="1"/>
        <v>Low</v>
      </c>
      <c r="J36" s="12" t="str">
        <f t="shared" ca="1" si="2"/>
        <v>OVERDUE</v>
      </c>
      <c r="K36" s="12" t="str">
        <f t="shared" si="3"/>
        <v>OK</v>
      </c>
      <c r="L36" s="12" t="str">
        <f>IF(COUNTIF(Register_A!$A$2:$A$26,B36)=0,"ORPHAN","OK")</f>
        <v>OK</v>
      </c>
    </row>
    <row r="37" spans="1:12" x14ac:dyDescent="0.2">
      <c r="A37" s="9" t="str">
        <f>Risk_Log!A37</f>
        <v>R-036</v>
      </c>
      <c r="B37" s="9" t="str">
        <f>Risk_Log!B37</f>
        <v>PRJ-012</v>
      </c>
      <c r="C37" s="9" t="str">
        <f>IF(Risk_Log!D37="","",Risk_Log!D37)</f>
        <v>Priya Sharma</v>
      </c>
      <c r="D37" s="9">
        <f>Risk_Log!E37</f>
        <v>2</v>
      </c>
      <c r="E37" s="9">
        <f>Risk_Log!F37</f>
        <v>1</v>
      </c>
      <c r="F37" s="10">
        <f>Risk_Log!G37</f>
        <v>46194</v>
      </c>
      <c r="G37" s="9" t="str">
        <f>Risk_Log!H37</f>
        <v>Open</v>
      </c>
      <c r="H37" s="12">
        <f t="shared" si="0"/>
        <v>2</v>
      </c>
      <c r="I37" s="12" t="str">
        <f t="shared" si="1"/>
        <v>Low</v>
      </c>
      <c r="J37" s="12" t="str">
        <f t="shared" ca="1" si="2"/>
        <v>OVERDUE</v>
      </c>
      <c r="K37" s="12" t="str">
        <f t="shared" si="3"/>
        <v>OK</v>
      </c>
      <c r="L37" s="12" t="str">
        <f>IF(COUNTIF(Register_A!$A$2:$A$26,B37)=0,"ORPHAN","OK")</f>
        <v>OK</v>
      </c>
    </row>
    <row r="38" spans="1:12" x14ac:dyDescent="0.2">
      <c r="A38" s="9" t="str">
        <f>Risk_Log!A38</f>
        <v>R-037</v>
      </c>
      <c r="B38" s="9" t="str">
        <f>Risk_Log!B38</f>
        <v>PRJ-013</v>
      </c>
      <c r="C38" s="9" t="str">
        <f>IF(Risk_Log!D38="","",Risk_Log!D38)</f>
        <v>Priya Sharma</v>
      </c>
      <c r="D38" s="9">
        <f>Risk_Log!E38</f>
        <v>1</v>
      </c>
      <c r="E38" s="9">
        <f>Risk_Log!F38</f>
        <v>4</v>
      </c>
      <c r="F38" s="10">
        <f>Risk_Log!G38</f>
        <v>46373</v>
      </c>
      <c r="G38" s="9" t="str">
        <f>Risk_Log!H38</f>
        <v>Open</v>
      </c>
      <c r="H38" s="12">
        <f t="shared" si="0"/>
        <v>4</v>
      </c>
      <c r="I38" s="12" t="str">
        <f t="shared" si="1"/>
        <v>Low</v>
      </c>
      <c r="J38" s="12" t="str">
        <f t="shared" ca="1" si="2"/>
        <v>OK</v>
      </c>
      <c r="K38" s="12" t="str">
        <f t="shared" si="3"/>
        <v>OK</v>
      </c>
      <c r="L38" s="12" t="str">
        <f>IF(COUNTIF(Register_A!$A$2:$A$26,B38)=0,"ORPHAN","OK")</f>
        <v>OK</v>
      </c>
    </row>
    <row r="39" spans="1:12" x14ac:dyDescent="0.2">
      <c r="A39" s="9" t="str">
        <f>Risk_Log!A39</f>
        <v>R-038</v>
      </c>
      <c r="B39" s="9" t="str">
        <f>Risk_Log!B39</f>
        <v>PRJ-019</v>
      </c>
      <c r="C39" s="9" t="str">
        <f>IF(Risk_Log!D39="","",Risk_Log!D39)</f>
        <v>Aisha Khan</v>
      </c>
      <c r="D39" s="9">
        <f>Risk_Log!E39</f>
        <v>1</v>
      </c>
      <c r="E39" s="9">
        <f>Risk_Log!F39</f>
        <v>4</v>
      </c>
      <c r="F39" s="10">
        <f>Risk_Log!G39</f>
        <v>46209</v>
      </c>
      <c r="G39" s="9" t="str">
        <f>Risk_Log!H39</f>
        <v>Open</v>
      </c>
      <c r="H39" s="12">
        <f t="shared" si="0"/>
        <v>4</v>
      </c>
      <c r="I39" s="12" t="str">
        <f t="shared" si="1"/>
        <v>Low</v>
      </c>
      <c r="J39" s="12" t="str">
        <f t="shared" ca="1" si="2"/>
        <v>OVERDUE</v>
      </c>
      <c r="K39" s="12" t="str">
        <f t="shared" si="3"/>
        <v>OK</v>
      </c>
      <c r="L39" s="12" t="str">
        <f>IF(COUNTIF(Register_A!$A$2:$A$26,B39)=0,"ORPHAN","OK")</f>
        <v>OK</v>
      </c>
    </row>
    <row r="40" spans="1:12" x14ac:dyDescent="0.2">
      <c r="A40" s="9" t="str">
        <f>Risk_Log!A40</f>
        <v>R-039</v>
      </c>
      <c r="B40" s="9" t="str">
        <f>Risk_Log!B40</f>
        <v>PRJ-014</v>
      </c>
      <c r="C40" s="9" t="str">
        <f>IF(Risk_Log!D40="","",Risk_Log!D40)</f>
        <v>Aisha Khan</v>
      </c>
      <c r="D40" s="9">
        <f>Risk_Log!E40</f>
        <v>3</v>
      </c>
      <c r="E40" s="9">
        <f>Risk_Log!F40</f>
        <v>3</v>
      </c>
      <c r="F40" s="10">
        <f>Risk_Log!G40</f>
        <v>46306</v>
      </c>
      <c r="G40" s="9" t="str">
        <f>Risk_Log!H40</f>
        <v>Open</v>
      </c>
      <c r="H40" s="12">
        <f t="shared" si="0"/>
        <v>9</v>
      </c>
      <c r="I40" s="12" t="str">
        <f t="shared" si="1"/>
        <v>Medium</v>
      </c>
      <c r="J40" s="12" t="str">
        <f t="shared" ca="1" si="2"/>
        <v>OK</v>
      </c>
      <c r="K40" s="12" t="str">
        <f t="shared" si="3"/>
        <v>OK</v>
      </c>
      <c r="L40" s="12" t="str">
        <f>IF(COUNTIF(Register_A!$A$2:$A$26,B40)=0,"ORPHAN","OK")</f>
        <v>OK</v>
      </c>
    </row>
    <row r="41" spans="1:12" x14ac:dyDescent="0.2">
      <c r="A41" s="9" t="str">
        <f>Risk_Log!A41</f>
        <v>R-040</v>
      </c>
      <c r="B41" s="9" t="str">
        <f>Risk_Log!B41</f>
        <v>PRJ-002</v>
      </c>
      <c r="C41" s="9" t="str">
        <f>IF(Risk_Log!D41="","",Risk_Log!D41)</f>
        <v>Liam O'Brien</v>
      </c>
      <c r="D41" s="9">
        <f>Risk_Log!E41</f>
        <v>3</v>
      </c>
      <c r="E41" s="9">
        <f>Risk_Log!F41</f>
        <v>2</v>
      </c>
      <c r="F41" s="10">
        <f>Risk_Log!G41</f>
        <v>46184</v>
      </c>
      <c r="G41" s="9" t="str">
        <f>Risk_Log!H41</f>
        <v>Monitoring</v>
      </c>
      <c r="H41" s="12">
        <f t="shared" si="0"/>
        <v>6</v>
      </c>
      <c r="I41" s="12" t="str">
        <f t="shared" si="1"/>
        <v>Low</v>
      </c>
      <c r="J41" s="12" t="str">
        <f t="shared" ca="1" si="2"/>
        <v>OVERDUE</v>
      </c>
      <c r="K41" s="12" t="str">
        <f t="shared" si="3"/>
        <v>OK</v>
      </c>
      <c r="L41" s="12" t="str">
        <f>IF(COUNTIF(Register_A!$A$2:$A$26,B41)=0,"ORPHAN","OK")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zoomScale="173" zoomScaleNormal="100" workbookViewId="0">
      <pane ySplit="1" topLeftCell="A2" activePane="bottomLeft" state="frozen"/>
      <selection pane="bottomLeft" activeCell="B15" sqref="B15"/>
    </sheetView>
  </sheetViews>
  <sheetFormatPr baseColWidth="10" defaultColWidth="8.6640625" defaultRowHeight="15" x14ac:dyDescent="0.2"/>
  <cols>
    <col min="1" max="1" width="52" customWidth="1"/>
    <col min="2" max="2" width="16" customWidth="1"/>
    <col min="3" max="3" width="48" customWidth="1"/>
  </cols>
  <sheetData>
    <row r="1" spans="1:3" ht="30" customHeight="1" x14ac:dyDescent="0.2">
      <c r="A1" s="8" t="s">
        <v>233</v>
      </c>
      <c r="B1" s="8" t="s">
        <v>234</v>
      </c>
      <c r="C1" s="8" t="s">
        <v>235</v>
      </c>
    </row>
    <row r="2" spans="1:3" x14ac:dyDescent="0.2">
      <c r="A2" s="14" t="s">
        <v>236</v>
      </c>
      <c r="B2" s="15">
        <f>COUNTA(Register_A!A2:A26)</f>
        <v>25</v>
      </c>
      <c r="C2" s="14" t="s">
        <v>237</v>
      </c>
    </row>
    <row r="3" spans="1:3" x14ac:dyDescent="0.2">
      <c r="A3" s="14" t="s">
        <v>238</v>
      </c>
      <c r="B3" s="16">
        <f>COUNTIF(Register_A!H2:H26,"Red")</f>
        <v>5</v>
      </c>
      <c r="C3" s="14" t="s">
        <v>239</v>
      </c>
    </row>
    <row r="4" spans="1:3" x14ac:dyDescent="0.2">
      <c r="A4" s="14" t="s">
        <v>240</v>
      </c>
      <c r="B4" s="17">
        <f>SUMIFS(Register_A!G2:G26,Register_A!D2:D26,"Digital")</f>
        <v>2600000</v>
      </c>
      <c r="C4" s="14" t="s">
        <v>241</v>
      </c>
    </row>
    <row r="5" spans="1:3" ht="28" x14ac:dyDescent="0.2">
      <c r="A5" s="14" t="s">
        <v>242</v>
      </c>
      <c r="B5" s="16">
        <f>COUNTIFS(Register_A!D2:D26,"Digital",Register_A!H2:H26,"Amber*")</f>
        <v>1</v>
      </c>
      <c r="C5" s="14" t="s">
        <v>243</v>
      </c>
    </row>
    <row r="6" spans="1:3" x14ac:dyDescent="0.2">
      <c r="A6" s="14" t="s">
        <v>244</v>
      </c>
      <c r="B6" s="17">
        <f>AVERAGE(Register_A!G2:G26)</f>
        <v>335200</v>
      </c>
      <c r="C6" s="37" t="s">
        <v>245</v>
      </c>
    </row>
    <row r="7" spans="1:3" x14ac:dyDescent="0.2">
      <c r="A7" s="14" t="s">
        <v>246</v>
      </c>
      <c r="B7" s="16">
        <f>COUNTIF(Risk_Log!H2:H41,"Open")</f>
        <v>26</v>
      </c>
      <c r="C7" s="14" t="s">
        <v>247</v>
      </c>
    </row>
    <row r="8" spans="1:3" x14ac:dyDescent="0.2">
      <c r="A8" s="37" t="s">
        <v>248</v>
      </c>
      <c r="B8" s="16">
        <f>COUNTIFS(Ex3_Risks!H2:H41,"&gt;=15",Ex3_Risks!G2:G41,"&lt;&gt;Closed")</f>
        <v>7</v>
      </c>
      <c r="C8" s="14" t="s">
        <v>249</v>
      </c>
    </row>
    <row r="9" spans="1:3" x14ac:dyDescent="0.2">
      <c r="A9" s="37" t="s">
        <v>250</v>
      </c>
      <c r="B9" s="16">
        <f>COUNTIF(Ex2_Crosswalk!H2:H26,"Missing in finance")</f>
        <v>6</v>
      </c>
      <c r="C9" s="14" t="s">
        <v>251</v>
      </c>
    </row>
    <row r="10" spans="1:3" x14ac:dyDescent="0.2">
      <c r="A10" s="37" t="s">
        <v>252</v>
      </c>
      <c r="B10" s="17">
        <f>SUM(Register_B!E2:E23)</f>
        <v>4474000</v>
      </c>
      <c r="C10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95" customWidth="1"/>
    <col min="3" max="3" width="60" customWidth="1"/>
  </cols>
  <sheetData>
    <row r="1" spans="1:3" x14ac:dyDescent="0.2">
      <c r="A1" s="18" t="s">
        <v>254</v>
      </c>
    </row>
    <row r="3" spans="1:3" ht="16" x14ac:dyDescent="0.2">
      <c r="A3" s="19" t="s">
        <v>10</v>
      </c>
    </row>
    <row r="4" spans="1:3" x14ac:dyDescent="0.2">
      <c r="A4" s="20" t="s">
        <v>255</v>
      </c>
      <c r="B4" s="20" t="s">
        <v>256</v>
      </c>
      <c r="C4" s="20" t="s">
        <v>257</v>
      </c>
    </row>
    <row r="5" spans="1:3" x14ac:dyDescent="0.2">
      <c r="A5" s="1" t="s">
        <v>217</v>
      </c>
      <c r="B5" s="21" t="s">
        <v>258</v>
      </c>
      <c r="C5" s="5" t="s">
        <v>259</v>
      </c>
    </row>
    <row r="6" spans="1:3" x14ac:dyDescent="0.2">
      <c r="A6" s="1" t="s">
        <v>218</v>
      </c>
      <c r="B6" s="21" t="s">
        <v>260</v>
      </c>
      <c r="C6" s="5" t="s">
        <v>261</v>
      </c>
    </row>
    <row r="7" spans="1:3" x14ac:dyDescent="0.2">
      <c r="A7" s="1" t="s">
        <v>219</v>
      </c>
      <c r="B7" s="21" t="s">
        <v>262</v>
      </c>
      <c r="C7" s="5" t="s">
        <v>263</v>
      </c>
    </row>
    <row r="8" spans="1:3" x14ac:dyDescent="0.2">
      <c r="A8" s="1" t="s">
        <v>220</v>
      </c>
      <c r="B8" s="21" t="s">
        <v>264</v>
      </c>
      <c r="C8" s="5" t="s">
        <v>265</v>
      </c>
    </row>
    <row r="9" spans="1:3" x14ac:dyDescent="0.2">
      <c r="A9" s="1" t="s">
        <v>221</v>
      </c>
      <c r="B9" s="21" t="s">
        <v>266</v>
      </c>
      <c r="C9" s="5" t="s">
        <v>267</v>
      </c>
    </row>
    <row r="11" spans="1:3" ht="16" x14ac:dyDescent="0.2">
      <c r="A11" s="19" t="s">
        <v>12</v>
      </c>
    </row>
    <row r="12" spans="1:3" x14ac:dyDescent="0.2">
      <c r="A12" s="20" t="s">
        <v>255</v>
      </c>
      <c r="B12" s="20" t="s">
        <v>256</v>
      </c>
      <c r="C12" s="20" t="s">
        <v>257</v>
      </c>
    </row>
    <row r="13" spans="1:3" x14ac:dyDescent="0.2">
      <c r="A13" s="1" t="s">
        <v>223</v>
      </c>
      <c r="B13" s="21" t="s">
        <v>268</v>
      </c>
      <c r="C13" s="5" t="s">
        <v>269</v>
      </c>
    </row>
    <row r="14" spans="1:3" ht="57" x14ac:dyDescent="0.2">
      <c r="A14" s="1" t="s">
        <v>108</v>
      </c>
      <c r="B14" s="21" t="s">
        <v>270</v>
      </c>
      <c r="C14" s="5" t="s">
        <v>271</v>
      </c>
    </row>
    <row r="15" spans="1:3" x14ac:dyDescent="0.2">
      <c r="A15" s="1" t="s">
        <v>224</v>
      </c>
      <c r="B15" s="21" t="s">
        <v>272</v>
      </c>
      <c r="C15" s="5" t="s">
        <v>273</v>
      </c>
    </row>
    <row r="16" spans="1:3" x14ac:dyDescent="0.2">
      <c r="A16" s="1" t="s">
        <v>225</v>
      </c>
      <c r="B16" s="21" t="s">
        <v>274</v>
      </c>
      <c r="C16" s="5" t="s">
        <v>275</v>
      </c>
    </row>
    <row r="17" spans="1:3" x14ac:dyDescent="0.2">
      <c r="A17" s="1" t="s">
        <v>226</v>
      </c>
      <c r="B17" s="21" t="s">
        <v>276</v>
      </c>
      <c r="C17" s="5" t="s">
        <v>277</v>
      </c>
    </row>
    <row r="19" spans="1:3" ht="16" x14ac:dyDescent="0.2">
      <c r="A19" s="19" t="s">
        <v>14</v>
      </c>
    </row>
    <row r="20" spans="1:3" x14ac:dyDescent="0.2">
      <c r="A20" s="20" t="s">
        <v>255</v>
      </c>
      <c r="B20" s="20" t="s">
        <v>256</v>
      </c>
      <c r="C20" s="20" t="s">
        <v>257</v>
      </c>
    </row>
    <row r="21" spans="1:3" x14ac:dyDescent="0.2">
      <c r="A21" s="1" t="s">
        <v>229</v>
      </c>
      <c r="B21" s="21" t="s">
        <v>278</v>
      </c>
      <c r="C21" s="5" t="s">
        <v>279</v>
      </c>
    </row>
    <row r="22" spans="1:3" x14ac:dyDescent="0.2">
      <c r="A22" s="1" t="s">
        <v>230</v>
      </c>
      <c r="B22" s="21" t="s">
        <v>280</v>
      </c>
      <c r="C22" s="5" t="s">
        <v>281</v>
      </c>
    </row>
    <row r="23" spans="1:3" x14ac:dyDescent="0.2">
      <c r="A23" s="1" t="s">
        <v>231</v>
      </c>
      <c r="B23" s="21" t="s">
        <v>282</v>
      </c>
      <c r="C23" s="5" t="s">
        <v>283</v>
      </c>
    </row>
    <row r="24" spans="1:3" x14ac:dyDescent="0.2">
      <c r="A24" s="1" t="s">
        <v>219</v>
      </c>
      <c r="B24" s="21" t="s">
        <v>262</v>
      </c>
      <c r="C24" s="5" t="s">
        <v>263</v>
      </c>
    </row>
    <row r="25" spans="1:3" x14ac:dyDescent="0.2">
      <c r="A25" s="1" t="s">
        <v>232</v>
      </c>
      <c r="B25" s="21" t="s">
        <v>284</v>
      </c>
      <c r="C25" s="5" t="s">
        <v>285</v>
      </c>
    </row>
    <row r="28" spans="1:3" x14ac:dyDescent="0.2">
      <c r="A28" s="3" t="s">
        <v>286</v>
      </c>
    </row>
    <row r="29" spans="1:3" x14ac:dyDescent="0.2">
      <c r="A29" s="50" t="s">
        <v>287</v>
      </c>
      <c r="B29" s="50"/>
      <c r="C29" s="50"/>
    </row>
    <row r="30" spans="1:3" x14ac:dyDescent="0.2">
      <c r="A30" s="50" t="s">
        <v>288</v>
      </c>
      <c r="B30" s="50"/>
      <c r="C30" s="50"/>
    </row>
    <row r="31" spans="1:3" x14ac:dyDescent="0.2">
      <c r="A31" s="50" t="s">
        <v>289</v>
      </c>
      <c r="B31" s="50"/>
      <c r="C31" s="50"/>
    </row>
    <row r="32" spans="1:3" x14ac:dyDescent="0.2">
      <c r="A32" s="50" t="s">
        <v>290</v>
      </c>
      <c r="B32" s="50"/>
      <c r="C32" s="50"/>
    </row>
    <row r="33" spans="1:3" x14ac:dyDescent="0.2">
      <c r="A33" s="50" t="s">
        <v>291</v>
      </c>
      <c r="B33" s="50"/>
      <c r="C33" s="50"/>
    </row>
    <row r="34" spans="1:3" x14ac:dyDescent="0.2">
      <c r="A34" s="50" t="s">
        <v>292</v>
      </c>
      <c r="B34" s="50"/>
      <c r="C34" s="50"/>
    </row>
    <row r="35" spans="1:3" x14ac:dyDescent="0.2">
      <c r="A35" s="50" t="s">
        <v>293</v>
      </c>
      <c r="B35" s="50"/>
      <c r="C35" s="50"/>
    </row>
    <row r="36" spans="1:3" x14ac:dyDescent="0.2">
      <c r="A36" s="50" t="s">
        <v>294</v>
      </c>
      <c r="B36" s="50"/>
      <c r="C36" s="50"/>
    </row>
    <row r="37" spans="1:3" x14ac:dyDescent="0.2">
      <c r="A37" s="50" t="s">
        <v>295</v>
      </c>
      <c r="B37" s="50"/>
      <c r="C37" s="50"/>
    </row>
    <row r="38" spans="1:3" x14ac:dyDescent="0.2">
      <c r="A38" s="50" t="s">
        <v>296</v>
      </c>
      <c r="B38" s="50"/>
      <c r="C38" s="50"/>
    </row>
    <row r="39" spans="1:3" x14ac:dyDescent="0.2">
      <c r="A39" s="50" t="s">
        <v>297</v>
      </c>
      <c r="B39" s="50"/>
      <c r="C39" s="50"/>
    </row>
    <row r="40" spans="1:3" x14ac:dyDescent="0.2">
      <c r="A40" s="50" t="s">
        <v>298</v>
      </c>
      <c r="B40" s="50"/>
      <c r="C40" s="50"/>
    </row>
  </sheetData>
  <mergeCells count="12">
    <mergeCell ref="A39:C39"/>
    <mergeCell ref="A40:C40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9B1C-09D5-9F4D-9DFD-34F5DBC9C0FA}">
  <dimension ref="A1:G31"/>
  <sheetViews>
    <sheetView zoomScale="150" workbookViewId="0">
      <selection activeCell="J5" sqref="J5"/>
    </sheetView>
  </sheetViews>
  <sheetFormatPr baseColWidth="10" defaultRowHeight="15" x14ac:dyDescent="0.2"/>
  <cols>
    <col min="4" max="4" width="10.83203125" style="44"/>
    <col min="5" max="5" width="17.1640625" style="44" customWidth="1"/>
    <col min="6" max="6" width="15.33203125" style="44" customWidth="1"/>
    <col min="7" max="7" width="10.83203125" customWidth="1"/>
  </cols>
  <sheetData>
    <row r="1" spans="1:7" ht="16" x14ac:dyDescent="0.2">
      <c r="A1" s="45" t="s">
        <v>306</v>
      </c>
      <c r="B1" s="45" t="s">
        <v>307</v>
      </c>
      <c r="C1" s="45" t="s">
        <v>308</v>
      </c>
      <c r="D1" s="46" t="s">
        <v>309</v>
      </c>
      <c r="E1" s="46" t="s">
        <v>228</v>
      </c>
      <c r="F1" s="46" t="s">
        <v>310</v>
      </c>
      <c r="G1" s="45" t="s">
        <v>42</v>
      </c>
    </row>
    <row r="2" spans="1:7" ht="79" customHeight="1" x14ac:dyDescent="0.2">
      <c r="A2" s="45" t="s">
        <v>311</v>
      </c>
      <c r="B2" s="45" t="s">
        <v>3</v>
      </c>
      <c r="C2" s="45" t="s">
        <v>73</v>
      </c>
      <c r="D2" s="46" t="s">
        <v>312</v>
      </c>
      <c r="E2" s="46" t="s">
        <v>313</v>
      </c>
      <c r="F2" s="46" t="s">
        <v>326</v>
      </c>
      <c r="G2" s="45" t="s">
        <v>165</v>
      </c>
    </row>
    <row r="3" spans="1:7" ht="96" x14ac:dyDescent="0.2">
      <c r="A3" s="45" t="s">
        <v>314</v>
      </c>
      <c r="B3" s="45" t="s">
        <v>3</v>
      </c>
      <c r="C3" s="45" t="s">
        <v>67</v>
      </c>
      <c r="D3" s="46" t="s">
        <v>327</v>
      </c>
      <c r="E3" s="46" t="s">
        <v>315</v>
      </c>
      <c r="F3" s="46" t="s">
        <v>316</v>
      </c>
      <c r="G3" s="45" t="s">
        <v>165</v>
      </c>
    </row>
    <row r="4" spans="1:7" ht="96" x14ac:dyDescent="0.2">
      <c r="A4" s="45" t="s">
        <v>317</v>
      </c>
      <c r="B4" s="45" t="s">
        <v>3</v>
      </c>
      <c r="C4" s="45" t="s">
        <v>80</v>
      </c>
      <c r="D4" s="46" t="s">
        <v>328</v>
      </c>
      <c r="E4" s="46" t="s">
        <v>320</v>
      </c>
      <c r="F4" s="46" t="s">
        <v>321</v>
      </c>
      <c r="G4" s="45" t="s">
        <v>165</v>
      </c>
    </row>
    <row r="5" spans="1:7" ht="96" x14ac:dyDescent="0.2">
      <c r="A5" s="45" t="s">
        <v>318</v>
      </c>
      <c r="B5" s="45" t="s">
        <v>3</v>
      </c>
      <c r="C5" s="45" t="s">
        <v>55</v>
      </c>
      <c r="D5" s="46" t="s">
        <v>329</v>
      </c>
      <c r="E5" s="46" t="s">
        <v>322</v>
      </c>
      <c r="F5" s="46" t="s">
        <v>330</v>
      </c>
      <c r="G5" s="45" t="s">
        <v>165</v>
      </c>
    </row>
    <row r="6" spans="1:7" ht="80" x14ac:dyDescent="0.2">
      <c r="A6" s="45" t="s">
        <v>319</v>
      </c>
      <c r="B6" s="45" t="s">
        <v>3</v>
      </c>
      <c r="C6" s="45" t="s">
        <v>87</v>
      </c>
      <c r="D6" s="46" t="s">
        <v>331</v>
      </c>
      <c r="E6" s="46" t="s">
        <v>323</v>
      </c>
      <c r="F6" s="46" t="s">
        <v>324</v>
      </c>
      <c r="G6" s="45" t="s">
        <v>165</v>
      </c>
    </row>
    <row r="7" spans="1:7" ht="112" x14ac:dyDescent="0.2">
      <c r="A7" s="45" t="s">
        <v>325</v>
      </c>
      <c r="B7" s="45" t="s">
        <v>332</v>
      </c>
      <c r="C7" s="45" t="s">
        <v>333</v>
      </c>
      <c r="D7" s="46" t="s">
        <v>334</v>
      </c>
      <c r="E7" s="46" t="s">
        <v>335</v>
      </c>
      <c r="F7" s="46" t="s">
        <v>336</v>
      </c>
      <c r="G7" s="45" t="s">
        <v>165</v>
      </c>
    </row>
    <row r="8" spans="1:7" ht="160" x14ac:dyDescent="0.2">
      <c r="A8" s="45" t="s">
        <v>337</v>
      </c>
      <c r="B8" s="45" t="s">
        <v>5</v>
      </c>
      <c r="C8" s="45" t="s">
        <v>338</v>
      </c>
      <c r="D8" s="46" t="s">
        <v>339</v>
      </c>
      <c r="E8" s="46" t="s">
        <v>340</v>
      </c>
      <c r="F8" s="46" t="s">
        <v>341</v>
      </c>
      <c r="G8" s="45" t="s">
        <v>165</v>
      </c>
    </row>
    <row r="9" spans="1:7" ht="80" x14ac:dyDescent="0.2">
      <c r="A9" s="45" t="s">
        <v>342</v>
      </c>
      <c r="B9" s="45" t="s">
        <v>3</v>
      </c>
      <c r="C9" s="45" t="s">
        <v>343</v>
      </c>
      <c r="D9" s="46" t="s">
        <v>344</v>
      </c>
      <c r="E9" s="46" t="s">
        <v>345</v>
      </c>
      <c r="F9" s="46" t="s">
        <v>346</v>
      </c>
      <c r="G9" s="45" t="s">
        <v>165</v>
      </c>
    </row>
    <row r="10" spans="1:7" ht="144" x14ac:dyDescent="0.2">
      <c r="A10" s="45" t="s">
        <v>347</v>
      </c>
      <c r="B10" s="45" t="s">
        <v>5</v>
      </c>
      <c r="C10" s="45" t="s">
        <v>348</v>
      </c>
      <c r="D10" s="46" t="s">
        <v>349</v>
      </c>
      <c r="E10" s="46" t="s">
        <v>350</v>
      </c>
      <c r="F10" s="46" t="s">
        <v>351</v>
      </c>
      <c r="G10" s="45" t="s">
        <v>165</v>
      </c>
    </row>
    <row r="11" spans="1:7" ht="96" x14ac:dyDescent="0.2">
      <c r="A11" s="45" t="s">
        <v>352</v>
      </c>
      <c r="B11" s="45" t="s">
        <v>7</v>
      </c>
      <c r="C11" s="45" t="s">
        <v>353</v>
      </c>
      <c r="D11" s="46" t="s">
        <v>354</v>
      </c>
      <c r="E11" s="46" t="s">
        <v>355</v>
      </c>
      <c r="F11" s="46" t="s">
        <v>356</v>
      </c>
      <c r="G11" s="45" t="s">
        <v>165</v>
      </c>
    </row>
    <row r="12" spans="1:7" ht="64" x14ac:dyDescent="0.2">
      <c r="A12" s="45" t="s">
        <v>357</v>
      </c>
      <c r="B12" s="45" t="s">
        <v>7</v>
      </c>
      <c r="C12" s="45" t="s">
        <v>358</v>
      </c>
      <c r="D12" s="46" t="s">
        <v>359</v>
      </c>
      <c r="E12" s="46" t="s">
        <v>360</v>
      </c>
      <c r="F12" s="46" t="s">
        <v>361</v>
      </c>
      <c r="G12" s="45" t="s">
        <v>165</v>
      </c>
    </row>
    <row r="13" spans="1:7" ht="80" x14ac:dyDescent="0.2">
      <c r="A13" s="45" t="s">
        <v>362</v>
      </c>
      <c r="B13" s="45" t="s">
        <v>363</v>
      </c>
      <c r="C13" s="45" t="s">
        <v>364</v>
      </c>
      <c r="D13" s="46" t="s">
        <v>365</v>
      </c>
      <c r="E13" s="46" t="s">
        <v>366</v>
      </c>
      <c r="F13" s="46" t="s">
        <v>367</v>
      </c>
      <c r="G13" s="45" t="s">
        <v>165</v>
      </c>
    </row>
    <row r="14" spans="1:7" x14ac:dyDescent="0.2">
      <c r="A14" s="45"/>
      <c r="B14" s="45"/>
      <c r="C14" s="45"/>
      <c r="D14" s="46"/>
      <c r="E14" s="46"/>
      <c r="F14" s="46"/>
      <c r="G14" s="45"/>
    </row>
    <row r="15" spans="1:7" x14ac:dyDescent="0.2">
      <c r="A15" s="45"/>
      <c r="B15" s="45"/>
      <c r="C15" s="45"/>
      <c r="D15" s="46"/>
      <c r="E15" s="46"/>
      <c r="F15" s="46"/>
      <c r="G15" s="45"/>
    </row>
    <row r="16" spans="1:7" x14ac:dyDescent="0.2">
      <c r="A16" s="45"/>
      <c r="B16" s="45"/>
      <c r="C16" s="45"/>
      <c r="D16" s="46"/>
      <c r="E16" s="46"/>
      <c r="F16" s="46"/>
      <c r="G16" s="45"/>
    </row>
    <row r="17" spans="1:7" x14ac:dyDescent="0.2">
      <c r="A17" s="45"/>
      <c r="B17" s="45"/>
      <c r="C17" s="45"/>
      <c r="D17" s="46"/>
      <c r="E17" s="46"/>
      <c r="F17" s="46"/>
      <c r="G17" s="45"/>
    </row>
    <row r="18" spans="1:7" x14ac:dyDescent="0.2">
      <c r="A18" s="45"/>
      <c r="B18" s="45"/>
      <c r="C18" s="45"/>
      <c r="D18" s="46"/>
      <c r="E18" s="46"/>
      <c r="F18" s="46"/>
      <c r="G18" s="45"/>
    </row>
    <row r="19" spans="1:7" x14ac:dyDescent="0.2">
      <c r="A19" s="45"/>
      <c r="B19" s="45"/>
      <c r="C19" s="45"/>
      <c r="D19" s="46"/>
      <c r="E19" s="46"/>
      <c r="F19" s="46"/>
      <c r="G19" s="45"/>
    </row>
    <row r="20" spans="1:7" x14ac:dyDescent="0.2">
      <c r="A20" s="45"/>
      <c r="B20" s="45"/>
      <c r="C20" s="45"/>
      <c r="D20" s="46"/>
      <c r="E20" s="46"/>
      <c r="F20" s="46"/>
      <c r="G20" s="45"/>
    </row>
    <row r="26" spans="1:7" x14ac:dyDescent="0.2">
      <c r="A26" s="48" t="s">
        <v>373</v>
      </c>
    </row>
    <row r="27" spans="1:7" x14ac:dyDescent="0.2">
      <c r="A27" t="s">
        <v>368</v>
      </c>
    </row>
    <row r="28" spans="1:7" x14ac:dyDescent="0.2">
      <c r="A28" t="s">
        <v>369</v>
      </c>
    </row>
    <row r="29" spans="1:7" x14ac:dyDescent="0.2">
      <c r="A29" t="s">
        <v>370</v>
      </c>
    </row>
    <row r="30" spans="1:7" x14ac:dyDescent="0.2">
      <c r="A30" t="s">
        <v>371</v>
      </c>
    </row>
    <row r="31" spans="1:7" x14ac:dyDescent="0.2">
      <c r="A31" t="s">
        <v>372</v>
      </c>
    </row>
  </sheetData>
  <dataValidations count="1">
    <dataValidation type="list" allowBlank="1" showInputMessage="1" showErrorMessage="1" sqref="G2:G20" xr:uid="{5184EE0B-5ABB-4F44-A717-381853E9D283}">
      <formula1>"Open,In Progress,Resolved"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6E7B-02C7-AA40-BD93-4D46B2808EE0}">
  <dimension ref="A1:G31"/>
  <sheetViews>
    <sheetView zoomScale="91" workbookViewId="0">
      <selection activeCell="C29" sqref="C29"/>
    </sheetView>
  </sheetViews>
  <sheetFormatPr baseColWidth="10" defaultRowHeight="15" x14ac:dyDescent="0.2"/>
  <cols>
    <col min="1" max="1" width="14" bestFit="1" customWidth="1"/>
    <col min="2" max="2" width="26.33203125" bestFit="1" customWidth="1"/>
    <col min="3" max="3" width="10.83203125" bestFit="1" customWidth="1"/>
    <col min="4" max="4" width="17.1640625" bestFit="1" customWidth="1"/>
    <col min="5" max="5" width="10.5" bestFit="1" customWidth="1"/>
    <col min="6" max="6" width="14.6640625" bestFit="1" customWidth="1"/>
    <col min="7" max="7" width="13.6640625" bestFit="1" customWidth="1"/>
  </cols>
  <sheetData>
    <row r="1" spans="1:7" x14ac:dyDescent="0.2">
      <c r="A1" t="s">
        <v>108</v>
      </c>
      <c r="B1" t="s">
        <v>109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</row>
    <row r="2" spans="1:7" x14ac:dyDescent="0.2">
      <c r="A2" s="51" t="s">
        <v>114</v>
      </c>
      <c r="B2" s="51" t="s">
        <v>52</v>
      </c>
      <c r="C2" s="51" t="s">
        <v>51</v>
      </c>
      <c r="D2">
        <v>190000</v>
      </c>
      <c r="E2">
        <v>169000</v>
      </c>
      <c r="F2">
        <v>105000</v>
      </c>
      <c r="G2" s="51" t="s">
        <v>448</v>
      </c>
    </row>
    <row r="3" spans="1:7" x14ac:dyDescent="0.2">
      <c r="A3" s="51" t="s">
        <v>116</v>
      </c>
      <c r="B3" s="51" t="s">
        <v>92</v>
      </c>
      <c r="C3" s="51" t="s">
        <v>91</v>
      </c>
      <c r="D3">
        <v>335000</v>
      </c>
      <c r="E3">
        <v>399000</v>
      </c>
      <c r="F3">
        <v>321000</v>
      </c>
      <c r="G3" s="51" t="s">
        <v>449</v>
      </c>
    </row>
    <row r="4" spans="1:7" x14ac:dyDescent="0.2">
      <c r="A4" s="51" t="s">
        <v>118</v>
      </c>
      <c r="B4" s="51" t="s">
        <v>90</v>
      </c>
      <c r="C4" s="51" t="s">
        <v>89</v>
      </c>
      <c r="D4">
        <v>535000</v>
      </c>
      <c r="E4">
        <v>626000</v>
      </c>
      <c r="F4">
        <v>457000</v>
      </c>
      <c r="G4" s="51" t="s">
        <v>450</v>
      </c>
    </row>
    <row r="5" spans="1:7" x14ac:dyDescent="0.2">
      <c r="A5" s="51" t="s">
        <v>120</v>
      </c>
      <c r="B5" s="51" t="s">
        <v>121</v>
      </c>
      <c r="C5" s="51" t="s">
        <v>87</v>
      </c>
      <c r="D5">
        <v>465000</v>
      </c>
      <c r="E5">
        <v>429000</v>
      </c>
      <c r="F5">
        <v>372000</v>
      </c>
      <c r="G5" s="51" t="s">
        <v>449</v>
      </c>
    </row>
    <row r="6" spans="1:7" x14ac:dyDescent="0.2">
      <c r="A6" s="51" t="s">
        <v>122</v>
      </c>
      <c r="B6" s="51" t="s">
        <v>68</v>
      </c>
      <c r="C6" s="51" t="s">
        <v>67</v>
      </c>
      <c r="D6">
        <v>160000</v>
      </c>
      <c r="E6">
        <v>172000</v>
      </c>
      <c r="F6">
        <v>149000</v>
      </c>
      <c r="G6" s="51" t="s">
        <v>451</v>
      </c>
    </row>
    <row r="7" spans="1:7" x14ac:dyDescent="0.2">
      <c r="A7" s="51" t="s">
        <v>124</v>
      </c>
      <c r="B7" s="51" t="s">
        <v>49</v>
      </c>
      <c r="C7" s="51" t="s">
        <v>48</v>
      </c>
      <c r="D7">
        <v>360000</v>
      </c>
      <c r="E7">
        <v>301000</v>
      </c>
      <c r="F7">
        <v>104000</v>
      </c>
      <c r="G7" s="51" t="s">
        <v>448</v>
      </c>
    </row>
    <row r="8" spans="1:7" x14ac:dyDescent="0.2">
      <c r="A8" s="51" t="s">
        <v>126</v>
      </c>
      <c r="B8" s="51" t="s">
        <v>101</v>
      </c>
      <c r="C8" s="51" t="s">
        <v>100</v>
      </c>
      <c r="D8">
        <v>185000</v>
      </c>
      <c r="E8">
        <v>197000</v>
      </c>
      <c r="F8">
        <v>148000</v>
      </c>
      <c r="G8" s="51" t="s">
        <v>448</v>
      </c>
    </row>
    <row r="9" spans="1:7" x14ac:dyDescent="0.2">
      <c r="A9" s="51" t="s">
        <v>128</v>
      </c>
      <c r="B9" s="51" t="s">
        <v>129</v>
      </c>
      <c r="C9" s="51" t="s">
        <v>379</v>
      </c>
      <c r="D9">
        <v>60000</v>
      </c>
      <c r="E9">
        <v>52000</v>
      </c>
      <c r="F9">
        <v>30000</v>
      </c>
      <c r="G9" s="51" t="s">
        <v>452</v>
      </c>
    </row>
    <row r="10" spans="1:7" x14ac:dyDescent="0.2">
      <c r="A10" s="51" t="s">
        <v>130</v>
      </c>
      <c r="B10" s="51" t="s">
        <v>380</v>
      </c>
      <c r="C10" s="51" t="s">
        <v>82</v>
      </c>
      <c r="D10">
        <v>395000</v>
      </c>
      <c r="E10">
        <v>439000</v>
      </c>
      <c r="F10">
        <v>315000</v>
      </c>
      <c r="G10" s="51" t="s">
        <v>449</v>
      </c>
    </row>
    <row r="11" spans="1:7" x14ac:dyDescent="0.2">
      <c r="A11" s="51" t="s">
        <v>132</v>
      </c>
      <c r="B11" s="51" t="s">
        <v>74</v>
      </c>
      <c r="C11" s="51" t="s">
        <v>73</v>
      </c>
      <c r="D11">
        <v>270000</v>
      </c>
      <c r="E11">
        <v>264000</v>
      </c>
      <c r="F11">
        <v>76000</v>
      </c>
      <c r="G11" s="51" t="s">
        <v>453</v>
      </c>
    </row>
    <row r="12" spans="1:7" x14ac:dyDescent="0.2">
      <c r="A12" s="51" t="s">
        <v>134</v>
      </c>
      <c r="B12" s="51" t="s">
        <v>64</v>
      </c>
      <c r="C12" s="51" t="s">
        <v>63</v>
      </c>
      <c r="D12">
        <v>405000</v>
      </c>
      <c r="E12">
        <v>468000</v>
      </c>
      <c r="F12">
        <v>295000</v>
      </c>
      <c r="G12" s="51" t="s">
        <v>454</v>
      </c>
    </row>
    <row r="13" spans="1:7" x14ac:dyDescent="0.2">
      <c r="A13" s="51" t="s">
        <v>135</v>
      </c>
      <c r="B13" s="51" t="s">
        <v>81</v>
      </c>
      <c r="C13" s="51" t="s">
        <v>80</v>
      </c>
      <c r="D13">
        <v>135000</v>
      </c>
      <c r="E13">
        <v>129000</v>
      </c>
      <c r="F13">
        <v>39000</v>
      </c>
      <c r="G13" s="51" t="s">
        <v>455</v>
      </c>
    </row>
    <row r="14" spans="1:7" x14ac:dyDescent="0.2">
      <c r="A14" s="51" t="s">
        <v>137</v>
      </c>
      <c r="B14" s="51" t="s">
        <v>138</v>
      </c>
      <c r="C14" s="51" t="s">
        <v>106</v>
      </c>
      <c r="D14">
        <v>435000</v>
      </c>
      <c r="E14">
        <v>482000</v>
      </c>
      <c r="F14">
        <v>173000</v>
      </c>
      <c r="G14" s="51" t="s">
        <v>456</v>
      </c>
    </row>
    <row r="15" spans="1:7" x14ac:dyDescent="0.2">
      <c r="A15" s="51" t="s">
        <v>139</v>
      </c>
      <c r="B15" s="51" t="s">
        <v>56</v>
      </c>
      <c r="C15" s="51" t="s">
        <v>55</v>
      </c>
      <c r="D15">
        <v>440000</v>
      </c>
      <c r="E15">
        <v>374000</v>
      </c>
      <c r="F15">
        <v>114000</v>
      </c>
      <c r="G15" s="51" t="s">
        <v>452</v>
      </c>
    </row>
    <row r="16" spans="1:7" x14ac:dyDescent="0.2">
      <c r="A16" s="51" t="s">
        <v>140</v>
      </c>
      <c r="B16" s="51" t="s">
        <v>59</v>
      </c>
      <c r="C16" s="51" t="s">
        <v>58</v>
      </c>
      <c r="D16">
        <v>585000</v>
      </c>
      <c r="E16">
        <v>692000</v>
      </c>
      <c r="F16">
        <v>436000</v>
      </c>
      <c r="G16" s="51" t="s">
        <v>457</v>
      </c>
    </row>
    <row r="17" spans="1:7" x14ac:dyDescent="0.2">
      <c r="A17" s="51" t="s">
        <v>141</v>
      </c>
      <c r="B17" s="51" t="s">
        <v>142</v>
      </c>
      <c r="C17" s="51" t="s">
        <v>379</v>
      </c>
      <c r="D17">
        <v>95000</v>
      </c>
      <c r="E17">
        <v>98000</v>
      </c>
      <c r="F17">
        <v>41000</v>
      </c>
      <c r="G17" s="51" t="s">
        <v>458</v>
      </c>
    </row>
    <row r="18" spans="1:7" x14ac:dyDescent="0.2">
      <c r="A18" s="51" t="s">
        <v>143</v>
      </c>
      <c r="B18" s="51" t="s">
        <v>77</v>
      </c>
      <c r="C18" s="51" t="s">
        <v>76</v>
      </c>
      <c r="D18">
        <v>90000</v>
      </c>
      <c r="E18">
        <v>108000</v>
      </c>
      <c r="F18">
        <v>57000</v>
      </c>
      <c r="G18" s="51" t="s">
        <v>459</v>
      </c>
    </row>
    <row r="19" spans="1:7" x14ac:dyDescent="0.2">
      <c r="A19" s="51" t="s">
        <v>145</v>
      </c>
      <c r="B19" s="51" t="s">
        <v>103</v>
      </c>
      <c r="C19" s="51" t="s">
        <v>102</v>
      </c>
      <c r="D19">
        <v>185000</v>
      </c>
      <c r="E19">
        <v>209000</v>
      </c>
      <c r="F19">
        <v>162000</v>
      </c>
      <c r="G19" s="51" t="s">
        <v>456</v>
      </c>
    </row>
    <row r="20" spans="1:7" x14ac:dyDescent="0.2">
      <c r="A20" s="51" t="s">
        <v>147</v>
      </c>
      <c r="B20" s="51" t="s">
        <v>44</v>
      </c>
      <c r="C20" s="51" t="s">
        <v>43</v>
      </c>
      <c r="D20">
        <v>455000</v>
      </c>
      <c r="E20">
        <v>450000</v>
      </c>
      <c r="F20">
        <v>123000</v>
      </c>
      <c r="G20" s="51" t="s">
        <v>455</v>
      </c>
    </row>
    <row r="21" spans="1:7" x14ac:dyDescent="0.2">
      <c r="A21" s="51" t="s">
        <v>149</v>
      </c>
      <c r="B21" s="51" t="s">
        <v>86</v>
      </c>
      <c r="C21" s="51" t="s">
        <v>85</v>
      </c>
      <c r="D21">
        <v>550000</v>
      </c>
      <c r="E21">
        <v>627000</v>
      </c>
      <c r="F21">
        <v>196000</v>
      </c>
      <c r="G21" s="51" t="s">
        <v>460</v>
      </c>
    </row>
    <row r="22" spans="1:7" x14ac:dyDescent="0.2">
      <c r="A22" s="51" t="s">
        <v>151</v>
      </c>
      <c r="B22" s="51" t="s">
        <v>94</v>
      </c>
      <c r="C22" s="51" t="s">
        <v>93</v>
      </c>
      <c r="D22">
        <v>530000</v>
      </c>
      <c r="E22">
        <v>547000</v>
      </c>
      <c r="F22">
        <v>457000</v>
      </c>
      <c r="G22" s="51" t="s">
        <v>448</v>
      </c>
    </row>
    <row r="23" spans="1:7" x14ac:dyDescent="0.2">
      <c r="A23" s="51" t="s">
        <v>153</v>
      </c>
      <c r="B23" s="51" t="s">
        <v>98</v>
      </c>
      <c r="C23" s="51" t="s">
        <v>97</v>
      </c>
      <c r="D23">
        <v>530000</v>
      </c>
      <c r="E23">
        <v>551000</v>
      </c>
      <c r="F23">
        <v>304000</v>
      </c>
      <c r="G23" s="51" t="s">
        <v>461</v>
      </c>
    </row>
    <row r="24" spans="1:7" x14ac:dyDescent="0.2">
      <c r="A24" s="51" t="s">
        <v>379</v>
      </c>
      <c r="B24" s="51" t="s">
        <v>379</v>
      </c>
      <c r="C24" s="51" t="s">
        <v>379</v>
      </c>
      <c r="G24" s="51" t="s">
        <v>379</v>
      </c>
    </row>
    <row r="25" spans="1:7" x14ac:dyDescent="0.2">
      <c r="A25" s="51" t="s">
        <v>379</v>
      </c>
      <c r="B25" s="51" t="s">
        <v>379</v>
      </c>
      <c r="C25" s="51" t="s">
        <v>379</v>
      </c>
      <c r="G25" s="51" t="s">
        <v>379</v>
      </c>
    </row>
    <row r="26" spans="1:7" x14ac:dyDescent="0.2">
      <c r="A26" s="51" t="s">
        <v>379</v>
      </c>
      <c r="B26" s="51" t="s">
        <v>379</v>
      </c>
      <c r="C26" s="51" t="s">
        <v>379</v>
      </c>
      <c r="G26" s="51" t="s">
        <v>379</v>
      </c>
    </row>
    <row r="27" spans="1:7" x14ac:dyDescent="0.2">
      <c r="A27" s="51" t="s">
        <v>379</v>
      </c>
      <c r="B27" s="51" t="s">
        <v>379</v>
      </c>
      <c r="C27" s="51" t="s">
        <v>379</v>
      </c>
      <c r="G27" s="51" t="s">
        <v>379</v>
      </c>
    </row>
    <row r="28" spans="1:7" x14ac:dyDescent="0.2">
      <c r="A28" t="s">
        <v>379</v>
      </c>
      <c r="B28" t="s">
        <v>379</v>
      </c>
      <c r="C28" t="s">
        <v>379</v>
      </c>
      <c r="G28" t="s">
        <v>379</v>
      </c>
    </row>
    <row r="29" spans="1:7" x14ac:dyDescent="0.2">
      <c r="A29" t="s">
        <v>379</v>
      </c>
      <c r="B29" t="s">
        <v>379</v>
      </c>
      <c r="C29" t="s">
        <v>379</v>
      </c>
      <c r="G29" t="s">
        <v>379</v>
      </c>
    </row>
    <row r="30" spans="1:7" x14ac:dyDescent="0.2">
      <c r="A30" t="s">
        <v>379</v>
      </c>
      <c r="B30" t="s">
        <v>379</v>
      </c>
      <c r="C30" t="s">
        <v>379</v>
      </c>
      <c r="G30" t="s">
        <v>379</v>
      </c>
    </row>
    <row r="31" spans="1:7" x14ac:dyDescent="0.2">
      <c r="A31" t="s">
        <v>379</v>
      </c>
      <c r="B31" t="s">
        <v>379</v>
      </c>
      <c r="C31" t="s">
        <v>379</v>
      </c>
      <c r="G31" t="s">
        <v>379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8FB6-32A1-294F-8332-80189F503A83}">
  <dimension ref="A1:I25"/>
  <sheetViews>
    <sheetView zoomScale="144" workbookViewId="0">
      <selection activeCell="L17" sqref="L17"/>
    </sheetView>
  </sheetViews>
  <sheetFormatPr baseColWidth="10" defaultRowHeight="15" x14ac:dyDescent="0.2"/>
  <cols>
    <col min="1" max="1" width="11.33203125" bestFit="1" customWidth="1"/>
    <col min="2" max="2" width="26.5" bestFit="1" customWidth="1"/>
    <col min="3" max="3" width="13.6640625" bestFit="1" customWidth="1"/>
    <col min="4" max="4" width="10.1640625" bestFit="1" customWidth="1"/>
    <col min="5" max="5" width="11.33203125" bestFit="1" customWidth="1"/>
    <col min="6" max="6" width="10.5" bestFit="1" customWidth="1"/>
    <col min="7" max="7" width="9.1640625" bestFit="1" customWidth="1"/>
    <col min="8" max="8" width="8.5" bestFit="1" customWidth="1"/>
    <col min="9" max="9" width="13.33203125" bestFit="1" customWidth="1"/>
    <col min="10" max="10" width="9.1640625" bestFit="1" customWidth="1"/>
    <col min="11" max="11" width="8.5" bestFit="1" customWidth="1"/>
    <col min="12" max="12" width="13.33203125" bestFit="1" customWidth="1"/>
  </cols>
  <sheetData>
    <row r="1" spans="1:9" x14ac:dyDescent="0.2">
      <c r="A1" t="s">
        <v>35</v>
      </c>
      <c r="B1" t="s">
        <v>36</v>
      </c>
      <c r="C1" t="s">
        <v>382</v>
      </c>
      <c r="D1" t="s">
        <v>38</v>
      </c>
      <c r="E1" t="s">
        <v>39</v>
      </c>
      <c r="F1" t="s">
        <v>40</v>
      </c>
      <c r="G1" t="s">
        <v>383</v>
      </c>
      <c r="H1" t="s">
        <v>42</v>
      </c>
      <c r="I1" t="s">
        <v>384</v>
      </c>
    </row>
    <row r="2" spans="1:9" x14ac:dyDescent="0.2">
      <c r="A2" t="s">
        <v>43</v>
      </c>
      <c r="B2" t="s">
        <v>44</v>
      </c>
      <c r="C2" t="s">
        <v>45</v>
      </c>
      <c r="D2" t="s">
        <v>46</v>
      </c>
      <c r="E2" t="s">
        <v>432</v>
      </c>
      <c r="F2" t="s">
        <v>433</v>
      </c>
      <c r="G2">
        <v>455000</v>
      </c>
      <c r="H2" t="s">
        <v>47</v>
      </c>
      <c r="I2" t="s">
        <v>434</v>
      </c>
    </row>
    <row r="3" spans="1:9" x14ac:dyDescent="0.2">
      <c r="A3" t="s">
        <v>48</v>
      </c>
      <c r="B3" t="s">
        <v>49</v>
      </c>
      <c r="C3" t="s">
        <v>50</v>
      </c>
      <c r="D3" t="s">
        <v>46</v>
      </c>
      <c r="E3" t="s">
        <v>385</v>
      </c>
      <c r="F3" t="s">
        <v>386</v>
      </c>
      <c r="G3">
        <v>360000</v>
      </c>
      <c r="H3" t="s">
        <v>47</v>
      </c>
      <c r="I3" t="s">
        <v>387</v>
      </c>
    </row>
    <row r="4" spans="1:9" x14ac:dyDescent="0.2">
      <c r="A4" t="s">
        <v>51</v>
      </c>
      <c r="B4" t="s">
        <v>52</v>
      </c>
      <c r="C4" t="s">
        <v>53</v>
      </c>
      <c r="D4" t="s">
        <v>54</v>
      </c>
      <c r="E4" t="s">
        <v>388</v>
      </c>
      <c r="F4" t="s">
        <v>389</v>
      </c>
      <c r="G4">
        <v>190000</v>
      </c>
      <c r="H4" t="s">
        <v>47</v>
      </c>
      <c r="I4" t="s">
        <v>390</v>
      </c>
    </row>
    <row r="5" spans="1:9" x14ac:dyDescent="0.2">
      <c r="A5" t="s">
        <v>55</v>
      </c>
      <c r="B5" t="s">
        <v>56</v>
      </c>
      <c r="C5" t="s">
        <v>45</v>
      </c>
      <c r="D5" t="s">
        <v>54</v>
      </c>
      <c r="E5" t="s">
        <v>391</v>
      </c>
      <c r="F5" t="s">
        <v>392</v>
      </c>
      <c r="G5">
        <v>440000</v>
      </c>
      <c r="H5" t="s">
        <v>75</v>
      </c>
      <c r="I5" t="s">
        <v>434</v>
      </c>
    </row>
    <row r="6" spans="1:9" x14ac:dyDescent="0.2">
      <c r="A6" t="s">
        <v>58</v>
      </c>
      <c r="B6" t="s">
        <v>59</v>
      </c>
      <c r="C6" t="s">
        <v>60</v>
      </c>
      <c r="D6" t="s">
        <v>61</v>
      </c>
      <c r="E6" t="s">
        <v>393</v>
      </c>
      <c r="F6" t="s">
        <v>394</v>
      </c>
      <c r="G6">
        <v>585000</v>
      </c>
      <c r="H6" t="s">
        <v>62</v>
      </c>
      <c r="I6" t="s">
        <v>434</v>
      </c>
    </row>
    <row r="7" spans="1:9" x14ac:dyDescent="0.2">
      <c r="A7" t="s">
        <v>63</v>
      </c>
      <c r="B7" t="s">
        <v>64</v>
      </c>
      <c r="C7" t="s">
        <v>65</v>
      </c>
      <c r="D7" t="s">
        <v>66</v>
      </c>
      <c r="E7" t="s">
        <v>395</v>
      </c>
      <c r="F7" t="s">
        <v>396</v>
      </c>
      <c r="G7">
        <v>405000</v>
      </c>
      <c r="H7" t="s">
        <v>47</v>
      </c>
      <c r="I7" t="s">
        <v>434</v>
      </c>
    </row>
    <row r="8" spans="1:9" x14ac:dyDescent="0.2">
      <c r="A8" t="s">
        <v>67</v>
      </c>
      <c r="B8" t="s">
        <v>68</v>
      </c>
      <c r="C8" t="s">
        <v>397</v>
      </c>
      <c r="D8" t="s">
        <v>46</v>
      </c>
      <c r="E8" t="s">
        <v>398</v>
      </c>
      <c r="F8" t="s">
        <v>399</v>
      </c>
      <c r="G8">
        <v>160000</v>
      </c>
      <c r="H8" t="s">
        <v>47</v>
      </c>
      <c r="I8" t="s">
        <v>390</v>
      </c>
    </row>
    <row r="9" spans="1:9" x14ac:dyDescent="0.2">
      <c r="A9" t="s">
        <v>69</v>
      </c>
      <c r="B9" t="s">
        <v>70</v>
      </c>
      <c r="C9" t="s">
        <v>71</v>
      </c>
      <c r="D9" t="s">
        <v>54</v>
      </c>
      <c r="E9" t="s">
        <v>400</v>
      </c>
      <c r="F9" t="s">
        <v>401</v>
      </c>
      <c r="G9">
        <v>170000</v>
      </c>
      <c r="H9" t="s">
        <v>72</v>
      </c>
      <c r="I9" t="s">
        <v>390</v>
      </c>
    </row>
    <row r="10" spans="1:9" x14ac:dyDescent="0.2">
      <c r="A10" t="s">
        <v>73</v>
      </c>
      <c r="B10" t="s">
        <v>74</v>
      </c>
      <c r="C10" t="s">
        <v>65</v>
      </c>
      <c r="D10" t="s">
        <v>66</v>
      </c>
      <c r="E10" t="s">
        <v>402</v>
      </c>
      <c r="F10" t="s">
        <v>403</v>
      </c>
      <c r="G10">
        <v>270000</v>
      </c>
      <c r="H10" t="s">
        <v>75</v>
      </c>
      <c r="I10" t="s">
        <v>387</v>
      </c>
    </row>
    <row r="11" spans="1:9" x14ac:dyDescent="0.2">
      <c r="A11" t="s">
        <v>76</v>
      </c>
      <c r="B11" t="s">
        <v>77</v>
      </c>
      <c r="C11" t="s">
        <v>65</v>
      </c>
      <c r="D11" t="s">
        <v>54</v>
      </c>
      <c r="E11" t="s">
        <v>404</v>
      </c>
      <c r="F11" t="s">
        <v>405</v>
      </c>
      <c r="G11">
        <v>90000</v>
      </c>
      <c r="H11" t="s">
        <v>72</v>
      </c>
      <c r="I11" t="s">
        <v>390</v>
      </c>
    </row>
    <row r="12" spans="1:9" x14ac:dyDescent="0.2">
      <c r="A12" t="s">
        <v>78</v>
      </c>
      <c r="B12" t="s">
        <v>79</v>
      </c>
      <c r="C12" t="s">
        <v>53</v>
      </c>
      <c r="D12" t="s">
        <v>46</v>
      </c>
      <c r="E12" t="s">
        <v>406</v>
      </c>
      <c r="F12" t="s">
        <v>407</v>
      </c>
      <c r="G12">
        <v>425000</v>
      </c>
      <c r="H12" t="s">
        <v>62</v>
      </c>
      <c r="I12" t="s">
        <v>434</v>
      </c>
    </row>
    <row r="13" spans="1:9" x14ac:dyDescent="0.2">
      <c r="A13" t="s">
        <v>80</v>
      </c>
      <c r="B13" t="s">
        <v>81</v>
      </c>
      <c r="C13" t="s">
        <v>71</v>
      </c>
      <c r="D13" t="s">
        <v>54</v>
      </c>
      <c r="E13" t="s">
        <v>408</v>
      </c>
      <c r="F13" t="s">
        <v>409</v>
      </c>
      <c r="G13">
        <v>135000</v>
      </c>
      <c r="H13" t="s">
        <v>47</v>
      </c>
      <c r="I13" t="s">
        <v>390</v>
      </c>
    </row>
    <row r="14" spans="1:9" x14ac:dyDescent="0.2">
      <c r="A14" t="s">
        <v>82</v>
      </c>
      <c r="B14" t="s">
        <v>83</v>
      </c>
      <c r="C14" t="s">
        <v>84</v>
      </c>
      <c r="D14" t="s">
        <v>61</v>
      </c>
      <c r="E14" t="s">
        <v>410</v>
      </c>
      <c r="F14" t="s">
        <v>411</v>
      </c>
      <c r="G14">
        <v>395000</v>
      </c>
      <c r="H14" t="s">
        <v>72</v>
      </c>
      <c r="I14" t="s">
        <v>387</v>
      </c>
    </row>
    <row r="15" spans="1:9" x14ac:dyDescent="0.2">
      <c r="A15" t="s">
        <v>85</v>
      </c>
      <c r="B15" t="s">
        <v>86</v>
      </c>
      <c r="C15" t="s">
        <v>71</v>
      </c>
      <c r="D15" t="s">
        <v>46</v>
      </c>
      <c r="E15" t="s">
        <v>412</v>
      </c>
      <c r="F15" t="s">
        <v>413</v>
      </c>
      <c r="G15">
        <v>550000</v>
      </c>
      <c r="H15" t="s">
        <v>47</v>
      </c>
      <c r="I15" t="s">
        <v>434</v>
      </c>
    </row>
    <row r="16" spans="1:9" x14ac:dyDescent="0.2">
      <c r="A16" t="s">
        <v>87</v>
      </c>
      <c r="B16" t="s">
        <v>121</v>
      </c>
      <c r="C16" t="s">
        <v>53</v>
      </c>
      <c r="D16" t="s">
        <v>46</v>
      </c>
      <c r="E16" t="s">
        <v>414</v>
      </c>
      <c r="F16" t="s">
        <v>381</v>
      </c>
      <c r="G16">
        <v>465000</v>
      </c>
      <c r="H16" t="s">
        <v>72</v>
      </c>
      <c r="I16" t="s">
        <v>434</v>
      </c>
    </row>
    <row r="17" spans="1:9" x14ac:dyDescent="0.2">
      <c r="A17" t="s">
        <v>89</v>
      </c>
      <c r="B17" t="s">
        <v>90</v>
      </c>
      <c r="C17" t="s">
        <v>71</v>
      </c>
      <c r="D17" t="s">
        <v>61</v>
      </c>
      <c r="E17" t="s">
        <v>415</v>
      </c>
      <c r="F17" t="s">
        <v>416</v>
      </c>
      <c r="G17">
        <v>565000</v>
      </c>
      <c r="H17" t="s">
        <v>62</v>
      </c>
      <c r="I17" t="s">
        <v>434</v>
      </c>
    </row>
    <row r="18" spans="1:9" x14ac:dyDescent="0.2">
      <c r="A18" t="s">
        <v>91</v>
      </c>
      <c r="B18" t="s">
        <v>92</v>
      </c>
      <c r="C18" t="s">
        <v>84</v>
      </c>
      <c r="D18" t="s">
        <v>66</v>
      </c>
      <c r="E18" t="s">
        <v>417</v>
      </c>
      <c r="F18" t="s">
        <v>418</v>
      </c>
      <c r="G18">
        <v>335000</v>
      </c>
      <c r="H18" t="s">
        <v>47</v>
      </c>
      <c r="I18" t="s">
        <v>387</v>
      </c>
    </row>
    <row r="19" spans="1:9" x14ac:dyDescent="0.2">
      <c r="A19" t="s">
        <v>93</v>
      </c>
      <c r="B19" t="s">
        <v>94</v>
      </c>
      <c r="C19" t="s">
        <v>65</v>
      </c>
      <c r="D19" t="s">
        <v>66</v>
      </c>
      <c r="E19" t="s">
        <v>419</v>
      </c>
      <c r="F19" t="s">
        <v>420</v>
      </c>
      <c r="G19">
        <v>530000</v>
      </c>
      <c r="H19" t="s">
        <v>75</v>
      </c>
      <c r="I19" t="s">
        <v>434</v>
      </c>
    </row>
    <row r="20" spans="1:9" x14ac:dyDescent="0.2">
      <c r="A20" t="s">
        <v>95</v>
      </c>
      <c r="B20" t="s">
        <v>96</v>
      </c>
      <c r="C20" t="s">
        <v>60</v>
      </c>
      <c r="D20" t="s">
        <v>54</v>
      </c>
      <c r="E20" t="s">
        <v>421</v>
      </c>
      <c r="F20" t="s">
        <v>422</v>
      </c>
      <c r="G20">
        <v>90000</v>
      </c>
      <c r="H20" t="s">
        <v>62</v>
      </c>
      <c r="I20" t="s">
        <v>390</v>
      </c>
    </row>
    <row r="21" spans="1:9" x14ac:dyDescent="0.2">
      <c r="A21" t="s">
        <v>97</v>
      </c>
      <c r="B21" t="s">
        <v>98</v>
      </c>
      <c r="C21" t="s">
        <v>99</v>
      </c>
      <c r="D21" t="s">
        <v>61</v>
      </c>
      <c r="E21" t="s">
        <v>423</v>
      </c>
      <c r="F21" t="s">
        <v>424</v>
      </c>
      <c r="G21">
        <v>560000</v>
      </c>
      <c r="H21" t="s">
        <v>62</v>
      </c>
      <c r="I21" t="s">
        <v>434</v>
      </c>
    </row>
    <row r="22" spans="1:9" x14ac:dyDescent="0.2">
      <c r="A22" t="s">
        <v>100</v>
      </c>
      <c r="B22" t="s">
        <v>101</v>
      </c>
      <c r="C22" t="s">
        <v>60</v>
      </c>
      <c r="D22" t="s">
        <v>46</v>
      </c>
      <c r="E22" t="s">
        <v>425</v>
      </c>
      <c r="F22" t="s">
        <v>426</v>
      </c>
      <c r="G22">
        <v>185000</v>
      </c>
      <c r="H22" t="s">
        <v>75</v>
      </c>
      <c r="I22" t="s">
        <v>390</v>
      </c>
    </row>
    <row r="23" spans="1:9" x14ac:dyDescent="0.2">
      <c r="A23" t="s">
        <v>102</v>
      </c>
      <c r="B23" t="s">
        <v>103</v>
      </c>
      <c r="C23" t="s">
        <v>45</v>
      </c>
      <c r="D23" t="s">
        <v>54</v>
      </c>
      <c r="E23" t="s">
        <v>427</v>
      </c>
      <c r="F23" t="s">
        <v>428</v>
      </c>
      <c r="G23">
        <v>185000</v>
      </c>
      <c r="H23" t="s">
        <v>75</v>
      </c>
      <c r="I23" t="s">
        <v>390</v>
      </c>
    </row>
    <row r="24" spans="1:9" x14ac:dyDescent="0.2">
      <c r="A24" t="s">
        <v>104</v>
      </c>
      <c r="B24" t="s">
        <v>105</v>
      </c>
      <c r="C24" t="s">
        <v>99</v>
      </c>
      <c r="D24" t="s">
        <v>61</v>
      </c>
      <c r="E24" t="s">
        <v>429</v>
      </c>
      <c r="F24" t="s">
        <v>423</v>
      </c>
      <c r="G24">
        <v>130000</v>
      </c>
      <c r="H24" t="s">
        <v>72</v>
      </c>
      <c r="I24" t="s">
        <v>390</v>
      </c>
    </row>
    <row r="25" spans="1:9" x14ac:dyDescent="0.2">
      <c r="A25" t="s">
        <v>106</v>
      </c>
      <c r="B25" t="s">
        <v>107</v>
      </c>
      <c r="C25" t="s">
        <v>45</v>
      </c>
      <c r="D25" t="s">
        <v>54</v>
      </c>
      <c r="E25" t="s">
        <v>430</v>
      </c>
      <c r="F25" t="s">
        <v>431</v>
      </c>
      <c r="G25">
        <v>435000</v>
      </c>
      <c r="H25" t="s">
        <v>62</v>
      </c>
      <c r="I25" t="s">
        <v>434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A319-062D-ED45-B742-9AA4E278182F}">
  <dimension ref="A1:D61"/>
  <sheetViews>
    <sheetView topLeftCell="A42" zoomScale="150" workbookViewId="0">
      <selection activeCell="E8" sqref="E8"/>
    </sheetView>
  </sheetViews>
  <sheetFormatPr baseColWidth="10" defaultRowHeight="15" x14ac:dyDescent="0.2"/>
  <cols>
    <col min="1" max="1" width="9" bestFit="1" customWidth="1"/>
    <col min="2" max="2" width="14" bestFit="1" customWidth="1"/>
    <col min="3" max="3" width="10.5" bestFit="1" customWidth="1"/>
    <col min="4" max="4" width="10" bestFit="1" customWidth="1"/>
  </cols>
  <sheetData>
    <row r="1" spans="1:4" x14ac:dyDescent="0.2">
      <c r="A1" t="s">
        <v>435</v>
      </c>
      <c r="B1" t="s">
        <v>108</v>
      </c>
      <c r="C1" t="s">
        <v>436</v>
      </c>
      <c r="D1" t="s">
        <v>437</v>
      </c>
    </row>
    <row r="2" spans="1:4" x14ac:dyDescent="0.2">
      <c r="A2" s="41">
        <v>46204</v>
      </c>
      <c r="B2" t="s">
        <v>122</v>
      </c>
      <c r="C2" t="s">
        <v>438</v>
      </c>
      <c r="D2">
        <v>1500</v>
      </c>
    </row>
    <row r="3" spans="1:4" x14ac:dyDescent="0.2">
      <c r="A3" s="41">
        <v>46204</v>
      </c>
      <c r="B3" t="s">
        <v>118</v>
      </c>
      <c r="C3" t="s">
        <v>439</v>
      </c>
      <c r="D3">
        <v>19500</v>
      </c>
    </row>
    <row r="4" spans="1:4" x14ac:dyDescent="0.2">
      <c r="A4" s="41">
        <v>46204</v>
      </c>
      <c r="B4" t="s">
        <v>118</v>
      </c>
      <c r="C4" t="s">
        <v>438</v>
      </c>
      <c r="D4">
        <v>7000</v>
      </c>
    </row>
    <row r="5" spans="1:4" x14ac:dyDescent="0.2">
      <c r="A5" s="41">
        <v>46204</v>
      </c>
      <c r="B5" t="s">
        <v>145</v>
      </c>
      <c r="C5" t="s">
        <v>438</v>
      </c>
      <c r="D5">
        <v>10000</v>
      </c>
    </row>
    <row r="6" spans="1:4" x14ac:dyDescent="0.2">
      <c r="A6" s="41">
        <v>46204</v>
      </c>
      <c r="B6" t="s">
        <v>116</v>
      </c>
      <c r="C6" t="s">
        <v>440</v>
      </c>
      <c r="D6">
        <v>15500</v>
      </c>
    </row>
    <row r="7" spans="1:4" x14ac:dyDescent="0.2">
      <c r="A7" s="41">
        <v>46204</v>
      </c>
      <c r="B7" t="s">
        <v>116</v>
      </c>
      <c r="C7" t="s">
        <v>438</v>
      </c>
      <c r="D7">
        <v>9500</v>
      </c>
    </row>
    <row r="8" spans="1:4" x14ac:dyDescent="0.2">
      <c r="A8" s="41">
        <v>46204</v>
      </c>
      <c r="B8" t="s">
        <v>137</v>
      </c>
      <c r="C8" t="s">
        <v>438</v>
      </c>
      <c r="D8">
        <v>9000</v>
      </c>
    </row>
    <row r="9" spans="1:4" x14ac:dyDescent="0.2">
      <c r="A9" s="41">
        <v>46204</v>
      </c>
      <c r="B9" t="s">
        <v>137</v>
      </c>
      <c r="C9" t="s">
        <v>440</v>
      </c>
      <c r="D9">
        <v>11000</v>
      </c>
    </row>
    <row r="10" spans="1:4" x14ac:dyDescent="0.2">
      <c r="A10" s="41">
        <v>46204</v>
      </c>
      <c r="B10" t="s">
        <v>140</v>
      </c>
      <c r="C10" t="s">
        <v>438</v>
      </c>
      <c r="D10">
        <v>10000</v>
      </c>
    </row>
    <row r="11" spans="1:4" x14ac:dyDescent="0.2">
      <c r="A11" s="41">
        <v>46204</v>
      </c>
      <c r="B11" t="s">
        <v>124</v>
      </c>
      <c r="C11" t="s">
        <v>440</v>
      </c>
      <c r="D11">
        <v>19000</v>
      </c>
    </row>
    <row r="12" spans="1:4" x14ac:dyDescent="0.2">
      <c r="A12" s="41">
        <v>46204</v>
      </c>
      <c r="B12" t="s">
        <v>132</v>
      </c>
      <c r="C12" t="s">
        <v>439</v>
      </c>
      <c r="D12">
        <v>4000</v>
      </c>
    </row>
    <row r="13" spans="1:4" x14ac:dyDescent="0.2">
      <c r="A13" s="41">
        <v>46204</v>
      </c>
      <c r="B13" t="s">
        <v>114</v>
      </c>
      <c r="C13" t="s">
        <v>439</v>
      </c>
      <c r="D13">
        <v>1500</v>
      </c>
    </row>
    <row r="14" spans="1:4" x14ac:dyDescent="0.2">
      <c r="A14" s="41">
        <v>46204</v>
      </c>
      <c r="B14" t="s">
        <v>114</v>
      </c>
      <c r="C14" t="s">
        <v>440</v>
      </c>
      <c r="D14">
        <v>1000</v>
      </c>
    </row>
    <row r="15" spans="1:4" x14ac:dyDescent="0.2">
      <c r="A15" s="41">
        <v>46204</v>
      </c>
      <c r="B15" t="s">
        <v>130</v>
      </c>
      <c r="C15" t="s">
        <v>440</v>
      </c>
      <c r="D15">
        <v>2500</v>
      </c>
    </row>
    <row r="16" spans="1:4" x14ac:dyDescent="0.2">
      <c r="A16" s="41">
        <v>46204</v>
      </c>
      <c r="B16" t="s">
        <v>147</v>
      </c>
      <c r="C16" t="s">
        <v>439</v>
      </c>
      <c r="D16">
        <v>14000</v>
      </c>
    </row>
    <row r="17" spans="1:4" x14ac:dyDescent="0.2">
      <c r="A17" s="41">
        <v>46204</v>
      </c>
      <c r="B17" t="s">
        <v>147</v>
      </c>
      <c r="C17" t="s">
        <v>438</v>
      </c>
      <c r="D17">
        <v>3000</v>
      </c>
    </row>
    <row r="18" spans="1:4" x14ac:dyDescent="0.2">
      <c r="A18" s="41">
        <v>46204</v>
      </c>
      <c r="B18" t="s">
        <v>139</v>
      </c>
      <c r="C18" t="s">
        <v>438</v>
      </c>
      <c r="D18">
        <v>9500</v>
      </c>
    </row>
    <row r="19" spans="1:4" x14ac:dyDescent="0.2">
      <c r="A19" s="41">
        <v>46204</v>
      </c>
      <c r="B19" t="s">
        <v>134</v>
      </c>
      <c r="C19" t="s">
        <v>440</v>
      </c>
      <c r="D19">
        <v>11500</v>
      </c>
    </row>
    <row r="20" spans="1:4" x14ac:dyDescent="0.2">
      <c r="A20" s="41">
        <v>46204</v>
      </c>
      <c r="B20" t="s">
        <v>134</v>
      </c>
      <c r="C20" t="s">
        <v>439</v>
      </c>
      <c r="D20">
        <v>1000</v>
      </c>
    </row>
    <row r="21" spans="1:4" x14ac:dyDescent="0.2">
      <c r="A21" s="41">
        <v>46204</v>
      </c>
      <c r="B21" t="s">
        <v>120</v>
      </c>
      <c r="C21" t="s">
        <v>440</v>
      </c>
      <c r="D21">
        <v>8500</v>
      </c>
    </row>
    <row r="22" spans="1:4" x14ac:dyDescent="0.2">
      <c r="A22" s="41">
        <v>46204</v>
      </c>
      <c r="B22" t="s">
        <v>120</v>
      </c>
      <c r="C22" t="s">
        <v>438</v>
      </c>
      <c r="D22">
        <v>4000</v>
      </c>
    </row>
    <row r="23" spans="1:4" x14ac:dyDescent="0.2">
      <c r="A23" s="41">
        <v>46235</v>
      </c>
      <c r="B23" t="s">
        <v>114</v>
      </c>
      <c r="C23" t="s">
        <v>439</v>
      </c>
      <c r="D23">
        <v>1000</v>
      </c>
    </row>
    <row r="24" spans="1:4" x14ac:dyDescent="0.2">
      <c r="A24" s="41">
        <v>46235</v>
      </c>
      <c r="B24" t="s">
        <v>114</v>
      </c>
      <c r="C24" t="s">
        <v>440</v>
      </c>
      <c r="D24">
        <v>9500</v>
      </c>
    </row>
    <row r="25" spans="1:4" x14ac:dyDescent="0.2">
      <c r="A25" s="41">
        <v>46235</v>
      </c>
      <c r="B25" t="s">
        <v>116</v>
      </c>
      <c r="C25" t="s">
        <v>440</v>
      </c>
      <c r="D25">
        <v>6500</v>
      </c>
    </row>
    <row r="26" spans="1:4" x14ac:dyDescent="0.2">
      <c r="A26" s="41">
        <v>46235</v>
      </c>
      <c r="B26" t="s">
        <v>116</v>
      </c>
      <c r="C26" t="s">
        <v>438</v>
      </c>
      <c r="D26">
        <v>13500</v>
      </c>
    </row>
    <row r="27" spans="1:4" x14ac:dyDescent="0.2">
      <c r="A27" s="41">
        <v>46235</v>
      </c>
      <c r="B27" t="s">
        <v>140</v>
      </c>
      <c r="C27" t="s">
        <v>440</v>
      </c>
      <c r="D27">
        <v>5500</v>
      </c>
    </row>
    <row r="28" spans="1:4" x14ac:dyDescent="0.2">
      <c r="A28" s="41">
        <v>46235</v>
      </c>
      <c r="B28" t="s">
        <v>141</v>
      </c>
      <c r="C28" t="s">
        <v>439</v>
      </c>
      <c r="D28">
        <v>9000</v>
      </c>
    </row>
    <row r="29" spans="1:4" x14ac:dyDescent="0.2">
      <c r="A29" s="41">
        <v>46235</v>
      </c>
      <c r="B29" t="s">
        <v>124</v>
      </c>
      <c r="C29" t="s">
        <v>438</v>
      </c>
      <c r="D29">
        <v>11500</v>
      </c>
    </row>
    <row r="30" spans="1:4" x14ac:dyDescent="0.2">
      <c r="A30" s="41">
        <v>46235</v>
      </c>
      <c r="B30" t="s">
        <v>126</v>
      </c>
      <c r="C30" t="s">
        <v>439</v>
      </c>
      <c r="D30">
        <v>3000</v>
      </c>
    </row>
    <row r="31" spans="1:4" x14ac:dyDescent="0.2">
      <c r="A31" s="41">
        <v>46235</v>
      </c>
      <c r="B31" t="s">
        <v>126</v>
      </c>
      <c r="C31" t="s">
        <v>440</v>
      </c>
      <c r="D31">
        <v>3500</v>
      </c>
    </row>
    <row r="32" spans="1:4" x14ac:dyDescent="0.2">
      <c r="A32" s="41">
        <v>46235</v>
      </c>
      <c r="B32" t="s">
        <v>149</v>
      </c>
      <c r="C32" t="s">
        <v>438</v>
      </c>
      <c r="D32">
        <v>8500</v>
      </c>
    </row>
    <row r="33" spans="1:4" x14ac:dyDescent="0.2">
      <c r="A33" s="41">
        <v>46235</v>
      </c>
      <c r="B33" t="s">
        <v>130</v>
      </c>
      <c r="C33" t="s">
        <v>438</v>
      </c>
      <c r="D33">
        <v>12500</v>
      </c>
    </row>
    <row r="34" spans="1:4" x14ac:dyDescent="0.2">
      <c r="A34" s="41">
        <v>46235</v>
      </c>
      <c r="B34" t="s">
        <v>120</v>
      </c>
      <c r="C34" t="s">
        <v>438</v>
      </c>
      <c r="D34">
        <v>5000</v>
      </c>
    </row>
    <row r="35" spans="1:4" x14ac:dyDescent="0.2">
      <c r="A35" s="41">
        <v>46235</v>
      </c>
      <c r="B35" t="s">
        <v>120</v>
      </c>
      <c r="C35" t="s">
        <v>439</v>
      </c>
      <c r="D35">
        <v>19500</v>
      </c>
    </row>
    <row r="36" spans="1:4" x14ac:dyDescent="0.2">
      <c r="A36" s="41">
        <v>46235</v>
      </c>
      <c r="B36" t="s">
        <v>135</v>
      </c>
      <c r="C36" t="s">
        <v>438</v>
      </c>
      <c r="D36">
        <v>13000</v>
      </c>
    </row>
    <row r="37" spans="1:4" x14ac:dyDescent="0.2">
      <c r="A37" s="41">
        <v>46235</v>
      </c>
      <c r="B37" t="s">
        <v>135</v>
      </c>
      <c r="C37" t="s">
        <v>440</v>
      </c>
      <c r="D37">
        <v>6500</v>
      </c>
    </row>
    <row r="38" spans="1:4" x14ac:dyDescent="0.2">
      <c r="A38" s="41">
        <v>46235</v>
      </c>
      <c r="B38" t="s">
        <v>118</v>
      </c>
      <c r="C38" t="s">
        <v>439</v>
      </c>
      <c r="D38">
        <v>8000</v>
      </c>
    </row>
    <row r="39" spans="1:4" x14ac:dyDescent="0.2">
      <c r="A39" s="41">
        <v>46235</v>
      </c>
      <c r="B39" t="s">
        <v>143</v>
      </c>
      <c r="C39" t="s">
        <v>438</v>
      </c>
      <c r="D39">
        <v>7000</v>
      </c>
    </row>
    <row r="40" spans="1:4" x14ac:dyDescent="0.2">
      <c r="A40" s="41">
        <v>46235</v>
      </c>
      <c r="B40" t="s">
        <v>134</v>
      </c>
      <c r="C40" t="s">
        <v>438</v>
      </c>
      <c r="D40">
        <v>18500</v>
      </c>
    </row>
    <row r="41" spans="1:4" x14ac:dyDescent="0.2">
      <c r="A41" s="41">
        <v>46235</v>
      </c>
      <c r="B41" t="s">
        <v>151</v>
      </c>
      <c r="C41" t="s">
        <v>438</v>
      </c>
      <c r="D41">
        <v>13000</v>
      </c>
    </row>
    <row r="42" spans="1:4" x14ac:dyDescent="0.2">
      <c r="A42" s="41">
        <v>46266</v>
      </c>
      <c r="B42" t="s">
        <v>141</v>
      </c>
      <c r="C42" t="s">
        <v>439</v>
      </c>
      <c r="D42">
        <v>3000</v>
      </c>
    </row>
    <row r="43" spans="1:4" x14ac:dyDescent="0.2">
      <c r="A43" s="41">
        <v>46266</v>
      </c>
      <c r="B43" t="s">
        <v>141</v>
      </c>
      <c r="C43" t="s">
        <v>440</v>
      </c>
      <c r="D43">
        <v>5000</v>
      </c>
    </row>
    <row r="44" spans="1:4" x14ac:dyDescent="0.2">
      <c r="A44" s="41">
        <v>46266</v>
      </c>
      <c r="B44" t="s">
        <v>149</v>
      </c>
      <c r="C44" t="s">
        <v>439</v>
      </c>
      <c r="D44">
        <v>18500</v>
      </c>
    </row>
    <row r="45" spans="1:4" x14ac:dyDescent="0.2">
      <c r="A45" s="41">
        <v>46266</v>
      </c>
      <c r="B45" t="s">
        <v>118</v>
      </c>
      <c r="C45" t="s">
        <v>439</v>
      </c>
      <c r="D45">
        <v>7500</v>
      </c>
    </row>
    <row r="46" spans="1:4" x14ac:dyDescent="0.2">
      <c r="A46" s="41">
        <v>46266</v>
      </c>
      <c r="B46" t="s">
        <v>139</v>
      </c>
      <c r="C46" t="s">
        <v>438</v>
      </c>
      <c r="D46">
        <v>1500</v>
      </c>
    </row>
    <row r="47" spans="1:4" x14ac:dyDescent="0.2">
      <c r="A47" s="41">
        <v>46266</v>
      </c>
      <c r="B47" t="s">
        <v>116</v>
      </c>
      <c r="C47" t="s">
        <v>439</v>
      </c>
      <c r="D47">
        <v>14000</v>
      </c>
    </row>
    <row r="48" spans="1:4" x14ac:dyDescent="0.2">
      <c r="A48" s="41">
        <v>46266</v>
      </c>
      <c r="B48" t="s">
        <v>120</v>
      </c>
      <c r="C48" t="s">
        <v>440</v>
      </c>
      <c r="D48">
        <v>2000</v>
      </c>
    </row>
    <row r="49" spans="1:4" x14ac:dyDescent="0.2">
      <c r="A49" s="41">
        <v>46266</v>
      </c>
      <c r="B49" t="s">
        <v>120</v>
      </c>
      <c r="C49" t="s">
        <v>438</v>
      </c>
      <c r="D49">
        <v>6500</v>
      </c>
    </row>
    <row r="50" spans="1:4" x14ac:dyDescent="0.2">
      <c r="A50" s="41">
        <v>46266</v>
      </c>
      <c r="B50" t="s">
        <v>143</v>
      </c>
      <c r="C50" t="s">
        <v>439</v>
      </c>
      <c r="D50">
        <v>3500</v>
      </c>
    </row>
    <row r="51" spans="1:4" x14ac:dyDescent="0.2">
      <c r="A51" s="41">
        <v>46266</v>
      </c>
      <c r="B51" t="s">
        <v>143</v>
      </c>
      <c r="C51" t="s">
        <v>440</v>
      </c>
      <c r="D51">
        <v>12500</v>
      </c>
    </row>
    <row r="52" spans="1:4" x14ac:dyDescent="0.2">
      <c r="A52" s="41">
        <v>46266</v>
      </c>
      <c r="B52" t="s">
        <v>114</v>
      </c>
      <c r="C52" t="s">
        <v>439</v>
      </c>
      <c r="D52">
        <v>11500</v>
      </c>
    </row>
    <row r="53" spans="1:4" x14ac:dyDescent="0.2">
      <c r="A53" s="41">
        <v>46266</v>
      </c>
      <c r="B53" t="s">
        <v>130</v>
      </c>
      <c r="C53" t="s">
        <v>438</v>
      </c>
      <c r="D53">
        <v>2000</v>
      </c>
    </row>
    <row r="54" spans="1:4" x14ac:dyDescent="0.2">
      <c r="A54" s="41">
        <v>46266</v>
      </c>
      <c r="B54" t="s">
        <v>122</v>
      </c>
      <c r="C54" t="s">
        <v>439</v>
      </c>
      <c r="D54">
        <v>12000</v>
      </c>
    </row>
    <row r="55" spans="1:4" x14ac:dyDescent="0.2">
      <c r="A55" s="41">
        <v>46266</v>
      </c>
      <c r="B55" t="s">
        <v>153</v>
      </c>
      <c r="C55" t="s">
        <v>440</v>
      </c>
      <c r="D55">
        <v>20000</v>
      </c>
    </row>
    <row r="56" spans="1:4" x14ac:dyDescent="0.2">
      <c r="A56" s="41">
        <v>46266</v>
      </c>
      <c r="B56" t="s">
        <v>153</v>
      </c>
      <c r="C56" t="s">
        <v>438</v>
      </c>
      <c r="D56">
        <v>3000</v>
      </c>
    </row>
    <row r="57" spans="1:4" x14ac:dyDescent="0.2">
      <c r="A57" s="41">
        <v>46266</v>
      </c>
      <c r="B57" t="s">
        <v>126</v>
      </c>
      <c r="C57" t="s">
        <v>440</v>
      </c>
      <c r="D57">
        <v>11000</v>
      </c>
    </row>
    <row r="58" spans="1:4" x14ac:dyDescent="0.2">
      <c r="A58" s="41">
        <v>46266</v>
      </c>
      <c r="B58" t="s">
        <v>126</v>
      </c>
      <c r="C58" t="s">
        <v>439</v>
      </c>
      <c r="D58">
        <v>5000</v>
      </c>
    </row>
    <row r="59" spans="1:4" x14ac:dyDescent="0.2">
      <c r="A59" s="41">
        <v>46266</v>
      </c>
      <c r="B59" t="s">
        <v>137</v>
      </c>
      <c r="C59" t="s">
        <v>440</v>
      </c>
      <c r="D59">
        <v>15000</v>
      </c>
    </row>
    <row r="60" spans="1:4" x14ac:dyDescent="0.2">
      <c r="A60" s="41">
        <v>46266</v>
      </c>
      <c r="B60" t="s">
        <v>134</v>
      </c>
      <c r="C60" t="s">
        <v>438</v>
      </c>
      <c r="D60">
        <v>5000</v>
      </c>
    </row>
    <row r="61" spans="1:4" x14ac:dyDescent="0.2">
      <c r="A61" s="41">
        <v>46266</v>
      </c>
      <c r="B61" t="s">
        <v>134</v>
      </c>
      <c r="C61" t="s">
        <v>440</v>
      </c>
      <c r="D61">
        <v>11500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AA5A-8125-CA4E-A22A-DF6DDBB6346E}">
  <dimension ref="A1:I5"/>
  <sheetViews>
    <sheetView zoomScale="125" workbookViewId="0"/>
  </sheetViews>
  <sheetFormatPr baseColWidth="10" defaultRowHeight="15" x14ac:dyDescent="0.2"/>
  <cols>
    <col min="1" max="1" width="11.33203125" bestFit="1" customWidth="1"/>
    <col min="2" max="2" width="20" bestFit="1" customWidth="1"/>
    <col min="3" max="3" width="13.6640625" bestFit="1" customWidth="1"/>
    <col min="4" max="4" width="10.1640625" bestFit="1" customWidth="1"/>
    <col min="5" max="5" width="11.33203125" bestFit="1" customWidth="1"/>
    <col min="6" max="6" width="10.5" bestFit="1" customWidth="1"/>
    <col min="7" max="7" width="9.1640625" bestFit="1" customWidth="1"/>
    <col min="8" max="8" width="8.5" bestFit="1" customWidth="1"/>
    <col min="9" max="9" width="13.33203125" bestFit="1" customWidth="1"/>
  </cols>
  <sheetData>
    <row r="1" spans="1:9" x14ac:dyDescent="0.2">
      <c r="A1" t="s">
        <v>35</v>
      </c>
      <c r="B1" t="s">
        <v>36</v>
      </c>
      <c r="C1" t="s">
        <v>382</v>
      </c>
      <c r="D1" t="s">
        <v>38</v>
      </c>
      <c r="E1" t="s">
        <v>39</v>
      </c>
      <c r="F1" t="s">
        <v>40</v>
      </c>
      <c r="G1" t="s">
        <v>383</v>
      </c>
      <c r="H1" t="s">
        <v>42</v>
      </c>
      <c r="I1" t="s">
        <v>384</v>
      </c>
    </row>
    <row r="2" spans="1:9" x14ac:dyDescent="0.2">
      <c r="A2" t="s">
        <v>69</v>
      </c>
      <c r="B2" t="s">
        <v>70</v>
      </c>
      <c r="C2" t="s">
        <v>71</v>
      </c>
      <c r="D2" t="s">
        <v>54</v>
      </c>
      <c r="E2" t="s">
        <v>400</v>
      </c>
      <c r="F2" t="s">
        <v>401</v>
      </c>
      <c r="G2">
        <v>170000</v>
      </c>
      <c r="H2" t="s">
        <v>72</v>
      </c>
      <c r="I2" t="s">
        <v>390</v>
      </c>
    </row>
    <row r="3" spans="1:9" x14ac:dyDescent="0.2">
      <c r="A3" t="s">
        <v>78</v>
      </c>
      <c r="B3" t="s">
        <v>79</v>
      </c>
      <c r="C3" t="s">
        <v>53</v>
      </c>
      <c r="D3" t="s">
        <v>46</v>
      </c>
      <c r="E3" t="s">
        <v>406</v>
      </c>
      <c r="F3" t="s">
        <v>407</v>
      </c>
      <c r="G3">
        <v>425000</v>
      </c>
      <c r="H3" t="s">
        <v>62</v>
      </c>
      <c r="I3" t="s">
        <v>434</v>
      </c>
    </row>
    <row r="4" spans="1:9" x14ac:dyDescent="0.2">
      <c r="A4" t="s">
        <v>95</v>
      </c>
      <c r="B4" t="s">
        <v>96</v>
      </c>
      <c r="C4" t="s">
        <v>60</v>
      </c>
      <c r="D4" t="s">
        <v>54</v>
      </c>
      <c r="E4" t="s">
        <v>421</v>
      </c>
      <c r="F4" t="s">
        <v>422</v>
      </c>
      <c r="G4">
        <v>90000</v>
      </c>
      <c r="H4" t="s">
        <v>62</v>
      </c>
      <c r="I4" t="s">
        <v>390</v>
      </c>
    </row>
    <row r="5" spans="1:9" x14ac:dyDescent="0.2">
      <c r="A5" t="s">
        <v>104</v>
      </c>
      <c r="B5" t="s">
        <v>105</v>
      </c>
      <c r="C5" t="s">
        <v>99</v>
      </c>
      <c r="D5" t="s">
        <v>61</v>
      </c>
      <c r="E5" t="s">
        <v>429</v>
      </c>
      <c r="F5" t="s">
        <v>423</v>
      </c>
      <c r="G5">
        <v>130000</v>
      </c>
      <c r="H5" t="s">
        <v>72</v>
      </c>
      <c r="I5" t="s">
        <v>390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11DF-3C97-C743-A071-5A43F8A8F0EC}">
  <dimension ref="A1:L25"/>
  <sheetViews>
    <sheetView zoomScale="141" workbookViewId="0">
      <selection activeCell="G4" sqref="G4"/>
    </sheetView>
  </sheetViews>
  <sheetFormatPr baseColWidth="10" defaultRowHeight="15" x14ac:dyDescent="0.2"/>
  <cols>
    <col min="1" max="1" width="11.33203125" bestFit="1" customWidth="1"/>
    <col min="2" max="2" width="27.1640625" bestFit="1" customWidth="1"/>
    <col min="3" max="3" width="13.6640625" bestFit="1" customWidth="1"/>
    <col min="4" max="4" width="10.1640625" bestFit="1" customWidth="1"/>
    <col min="5" max="5" width="11.33203125" bestFit="1" customWidth="1"/>
    <col min="6" max="6" width="10.5" bestFit="1" customWidth="1"/>
    <col min="7" max="7" width="9.1640625" bestFit="1" customWidth="1"/>
    <col min="8" max="8" width="8.5" bestFit="1" customWidth="1"/>
    <col min="9" max="9" width="13.33203125" bestFit="1" customWidth="1"/>
    <col min="10" max="10" width="14" bestFit="1" customWidth="1"/>
    <col min="11" max="11" width="17.1640625" bestFit="1" customWidth="1"/>
    <col min="12" max="12" width="17.6640625" bestFit="1" customWidth="1"/>
  </cols>
  <sheetData>
    <row r="1" spans="1:12" x14ac:dyDescent="0.2">
      <c r="A1" t="s">
        <v>35</v>
      </c>
      <c r="B1" t="s">
        <v>36</v>
      </c>
      <c r="C1" t="s">
        <v>382</v>
      </c>
      <c r="D1" t="s">
        <v>38</v>
      </c>
      <c r="E1" t="s">
        <v>39</v>
      </c>
      <c r="F1" t="s">
        <v>40</v>
      </c>
      <c r="G1" t="s">
        <v>383</v>
      </c>
      <c r="H1" t="s">
        <v>42</v>
      </c>
      <c r="I1" t="s">
        <v>384</v>
      </c>
      <c r="J1" t="s">
        <v>108</v>
      </c>
      <c r="K1" t="s">
        <v>375</v>
      </c>
      <c r="L1" t="s">
        <v>442</v>
      </c>
    </row>
    <row r="2" spans="1:12" x14ac:dyDescent="0.2">
      <c r="A2" t="s">
        <v>43</v>
      </c>
      <c r="B2" t="s">
        <v>44</v>
      </c>
      <c r="C2" t="s">
        <v>45</v>
      </c>
      <c r="D2" t="s">
        <v>46</v>
      </c>
      <c r="E2" t="s">
        <v>432</v>
      </c>
      <c r="F2" t="s">
        <v>433</v>
      </c>
      <c r="G2">
        <v>455000</v>
      </c>
      <c r="H2" t="s">
        <v>47</v>
      </c>
      <c r="I2" t="s">
        <v>434</v>
      </c>
      <c r="J2" t="s">
        <v>147</v>
      </c>
      <c r="K2">
        <v>455000</v>
      </c>
      <c r="L2">
        <v>0</v>
      </c>
    </row>
    <row r="3" spans="1:12" x14ac:dyDescent="0.2">
      <c r="A3" t="s">
        <v>51</v>
      </c>
      <c r="B3" t="s">
        <v>52</v>
      </c>
      <c r="C3" t="s">
        <v>53</v>
      </c>
      <c r="D3" t="s">
        <v>54</v>
      </c>
      <c r="E3" t="s">
        <v>388</v>
      </c>
      <c r="F3" t="s">
        <v>389</v>
      </c>
      <c r="G3">
        <v>190000</v>
      </c>
      <c r="H3" t="s">
        <v>47</v>
      </c>
      <c r="I3" t="s">
        <v>390</v>
      </c>
      <c r="J3" t="s">
        <v>114</v>
      </c>
      <c r="K3">
        <v>190000</v>
      </c>
      <c r="L3">
        <v>0</v>
      </c>
    </row>
    <row r="4" spans="1:12" x14ac:dyDescent="0.2">
      <c r="A4" t="s">
        <v>48</v>
      </c>
      <c r="B4" t="s">
        <v>49</v>
      </c>
      <c r="C4" t="s">
        <v>50</v>
      </c>
      <c r="D4" t="s">
        <v>46</v>
      </c>
      <c r="E4" t="s">
        <v>385</v>
      </c>
      <c r="F4" t="s">
        <v>386</v>
      </c>
      <c r="G4">
        <v>360000</v>
      </c>
      <c r="H4" t="s">
        <v>47</v>
      </c>
      <c r="I4" t="s">
        <v>387</v>
      </c>
      <c r="J4" t="s">
        <v>124</v>
      </c>
      <c r="K4">
        <v>360000</v>
      </c>
      <c r="L4">
        <v>0</v>
      </c>
    </row>
    <row r="5" spans="1:12" x14ac:dyDescent="0.2">
      <c r="A5" t="s">
        <v>91</v>
      </c>
      <c r="B5" t="s">
        <v>92</v>
      </c>
      <c r="C5" t="s">
        <v>84</v>
      </c>
      <c r="D5" t="s">
        <v>66</v>
      </c>
      <c r="E5" t="s">
        <v>417</v>
      </c>
      <c r="F5" t="s">
        <v>418</v>
      </c>
      <c r="G5">
        <v>335000</v>
      </c>
      <c r="H5" t="s">
        <v>47</v>
      </c>
      <c r="I5" t="s">
        <v>387</v>
      </c>
      <c r="J5" t="s">
        <v>116</v>
      </c>
      <c r="K5">
        <v>335000</v>
      </c>
      <c r="L5">
        <v>0</v>
      </c>
    </row>
    <row r="6" spans="1:12" x14ac:dyDescent="0.2">
      <c r="A6" t="s">
        <v>89</v>
      </c>
      <c r="B6" t="s">
        <v>90</v>
      </c>
      <c r="C6" t="s">
        <v>71</v>
      </c>
      <c r="D6" t="s">
        <v>61</v>
      </c>
      <c r="E6" t="s">
        <v>415</v>
      </c>
      <c r="F6" t="s">
        <v>416</v>
      </c>
      <c r="G6">
        <v>565000</v>
      </c>
      <c r="H6" t="s">
        <v>62</v>
      </c>
      <c r="I6" t="s">
        <v>434</v>
      </c>
      <c r="J6" t="s">
        <v>118</v>
      </c>
      <c r="K6">
        <v>535000</v>
      </c>
      <c r="L6">
        <v>-30000</v>
      </c>
    </row>
    <row r="7" spans="1:12" x14ac:dyDescent="0.2">
      <c r="A7" t="s">
        <v>55</v>
      </c>
      <c r="B7" t="s">
        <v>56</v>
      </c>
      <c r="C7" t="s">
        <v>45</v>
      </c>
      <c r="D7" t="s">
        <v>54</v>
      </c>
      <c r="E7" t="s">
        <v>391</v>
      </c>
      <c r="F7" t="s">
        <v>392</v>
      </c>
      <c r="G7">
        <v>440000</v>
      </c>
      <c r="H7" t="s">
        <v>75</v>
      </c>
      <c r="I7" t="s">
        <v>434</v>
      </c>
      <c r="J7" t="s">
        <v>139</v>
      </c>
      <c r="K7">
        <v>440000</v>
      </c>
      <c r="L7">
        <v>0</v>
      </c>
    </row>
    <row r="8" spans="1:12" x14ac:dyDescent="0.2">
      <c r="A8" t="s">
        <v>87</v>
      </c>
      <c r="B8" t="s">
        <v>121</v>
      </c>
      <c r="C8" t="s">
        <v>53</v>
      </c>
      <c r="D8" t="s">
        <v>46</v>
      </c>
      <c r="E8" t="s">
        <v>414</v>
      </c>
      <c r="F8" t="s">
        <v>381</v>
      </c>
      <c r="G8">
        <v>465000</v>
      </c>
      <c r="H8" t="s">
        <v>72</v>
      </c>
      <c r="I8" t="s">
        <v>434</v>
      </c>
      <c r="J8" t="s">
        <v>120</v>
      </c>
      <c r="K8">
        <v>465000</v>
      </c>
      <c r="L8">
        <v>0</v>
      </c>
    </row>
    <row r="9" spans="1:12" x14ac:dyDescent="0.2">
      <c r="A9" t="s">
        <v>58</v>
      </c>
      <c r="B9" t="s">
        <v>59</v>
      </c>
      <c r="C9" t="s">
        <v>60</v>
      </c>
      <c r="D9" t="s">
        <v>61</v>
      </c>
      <c r="E9" t="s">
        <v>393</v>
      </c>
      <c r="F9" t="s">
        <v>394</v>
      </c>
      <c r="G9">
        <v>585000</v>
      </c>
      <c r="H9" t="s">
        <v>62</v>
      </c>
      <c r="I9" t="s">
        <v>434</v>
      </c>
      <c r="J9" t="s">
        <v>140</v>
      </c>
      <c r="K9">
        <v>585000</v>
      </c>
      <c r="L9">
        <v>0</v>
      </c>
    </row>
    <row r="10" spans="1:12" x14ac:dyDescent="0.2">
      <c r="A10" t="s">
        <v>67</v>
      </c>
      <c r="B10" t="s">
        <v>68</v>
      </c>
      <c r="C10" t="s">
        <v>397</v>
      </c>
      <c r="D10" t="s">
        <v>46</v>
      </c>
      <c r="E10" t="s">
        <v>398</v>
      </c>
      <c r="F10" t="s">
        <v>399</v>
      </c>
      <c r="G10">
        <v>160000</v>
      </c>
      <c r="H10" t="s">
        <v>47</v>
      </c>
      <c r="I10" t="s">
        <v>390</v>
      </c>
      <c r="J10" t="s">
        <v>122</v>
      </c>
      <c r="K10">
        <v>160000</v>
      </c>
      <c r="L10">
        <v>0</v>
      </c>
    </row>
    <row r="11" spans="1:12" x14ac:dyDescent="0.2">
      <c r="A11" t="s">
        <v>63</v>
      </c>
      <c r="B11" t="s">
        <v>64</v>
      </c>
      <c r="C11" t="s">
        <v>65</v>
      </c>
      <c r="D11" t="s">
        <v>66</v>
      </c>
      <c r="E11" t="s">
        <v>395</v>
      </c>
      <c r="F11" t="s">
        <v>396</v>
      </c>
      <c r="G11">
        <v>405000</v>
      </c>
      <c r="H11" t="s">
        <v>47</v>
      </c>
      <c r="I11" t="s">
        <v>434</v>
      </c>
      <c r="J11" t="s">
        <v>134</v>
      </c>
      <c r="K11">
        <v>405000</v>
      </c>
      <c r="L11">
        <v>0</v>
      </c>
    </row>
    <row r="12" spans="1:12" x14ac:dyDescent="0.2">
      <c r="A12" t="s">
        <v>100</v>
      </c>
      <c r="B12" t="s">
        <v>101</v>
      </c>
      <c r="C12" t="s">
        <v>60</v>
      </c>
      <c r="D12" t="s">
        <v>46</v>
      </c>
      <c r="E12" t="s">
        <v>425</v>
      </c>
      <c r="F12" t="s">
        <v>426</v>
      </c>
      <c r="G12">
        <v>185000</v>
      </c>
      <c r="H12" t="s">
        <v>75</v>
      </c>
      <c r="I12" t="s">
        <v>390</v>
      </c>
      <c r="J12" t="s">
        <v>126</v>
      </c>
      <c r="K12">
        <v>185000</v>
      </c>
      <c r="L12">
        <v>0</v>
      </c>
    </row>
    <row r="13" spans="1:12" x14ac:dyDescent="0.2">
      <c r="A13" t="s">
        <v>69</v>
      </c>
      <c r="B13" t="s">
        <v>70</v>
      </c>
      <c r="C13" t="s">
        <v>71</v>
      </c>
      <c r="D13" t="s">
        <v>54</v>
      </c>
      <c r="E13" t="s">
        <v>400</v>
      </c>
      <c r="F13" t="s">
        <v>401</v>
      </c>
      <c r="G13">
        <v>170000</v>
      </c>
      <c r="H13" t="s">
        <v>72</v>
      </c>
      <c r="I13" t="s">
        <v>390</v>
      </c>
    </row>
    <row r="14" spans="1:12" x14ac:dyDescent="0.2">
      <c r="A14" t="s">
        <v>73</v>
      </c>
      <c r="B14" t="s">
        <v>74</v>
      </c>
      <c r="C14" t="s">
        <v>65</v>
      </c>
      <c r="D14" t="s">
        <v>66</v>
      </c>
      <c r="E14" t="s">
        <v>402</v>
      </c>
      <c r="F14" t="s">
        <v>403</v>
      </c>
      <c r="G14">
        <v>270000</v>
      </c>
      <c r="H14" t="s">
        <v>75</v>
      </c>
      <c r="I14" t="s">
        <v>387</v>
      </c>
      <c r="J14" t="s">
        <v>132</v>
      </c>
      <c r="K14">
        <v>270000</v>
      </c>
      <c r="L14">
        <v>0</v>
      </c>
    </row>
    <row r="15" spans="1:12" x14ac:dyDescent="0.2">
      <c r="A15" t="s">
        <v>82</v>
      </c>
      <c r="B15" t="s">
        <v>83</v>
      </c>
      <c r="C15" t="s">
        <v>84</v>
      </c>
      <c r="D15" t="s">
        <v>61</v>
      </c>
      <c r="E15" t="s">
        <v>410</v>
      </c>
      <c r="F15" t="s">
        <v>411</v>
      </c>
      <c r="G15">
        <v>395000</v>
      </c>
      <c r="H15" t="s">
        <v>72</v>
      </c>
      <c r="I15" t="s">
        <v>387</v>
      </c>
      <c r="J15" t="s">
        <v>130</v>
      </c>
      <c r="K15">
        <v>395000</v>
      </c>
      <c r="L15">
        <v>0</v>
      </c>
    </row>
    <row r="16" spans="1:12" x14ac:dyDescent="0.2">
      <c r="A16" t="s">
        <v>76</v>
      </c>
      <c r="B16" t="s">
        <v>77</v>
      </c>
      <c r="C16" t="s">
        <v>65</v>
      </c>
      <c r="D16" t="s">
        <v>54</v>
      </c>
      <c r="E16" t="s">
        <v>404</v>
      </c>
      <c r="F16" t="s">
        <v>405</v>
      </c>
      <c r="G16">
        <v>90000</v>
      </c>
      <c r="H16" t="s">
        <v>72</v>
      </c>
      <c r="I16" t="s">
        <v>390</v>
      </c>
      <c r="J16" t="s">
        <v>143</v>
      </c>
      <c r="K16">
        <v>90000</v>
      </c>
      <c r="L16">
        <v>0</v>
      </c>
    </row>
    <row r="17" spans="1:12" x14ac:dyDescent="0.2">
      <c r="A17" t="s">
        <v>78</v>
      </c>
      <c r="B17" t="s">
        <v>79</v>
      </c>
      <c r="C17" t="s">
        <v>53</v>
      </c>
      <c r="D17" t="s">
        <v>46</v>
      </c>
      <c r="E17" t="s">
        <v>406</v>
      </c>
      <c r="F17" t="s">
        <v>407</v>
      </c>
      <c r="G17">
        <v>425000</v>
      </c>
      <c r="H17" t="s">
        <v>62</v>
      </c>
      <c r="I17" t="s">
        <v>434</v>
      </c>
    </row>
    <row r="18" spans="1:12" x14ac:dyDescent="0.2">
      <c r="A18" t="s">
        <v>80</v>
      </c>
      <c r="B18" t="s">
        <v>81</v>
      </c>
      <c r="C18" t="s">
        <v>71</v>
      </c>
      <c r="D18" t="s">
        <v>54</v>
      </c>
      <c r="E18" t="s">
        <v>408</v>
      </c>
      <c r="F18" t="s">
        <v>409</v>
      </c>
      <c r="G18">
        <v>135000</v>
      </c>
      <c r="H18" t="s">
        <v>47</v>
      </c>
      <c r="I18" t="s">
        <v>390</v>
      </c>
      <c r="J18" t="s">
        <v>135</v>
      </c>
      <c r="K18">
        <v>135000</v>
      </c>
      <c r="L18">
        <v>0</v>
      </c>
    </row>
    <row r="19" spans="1:12" x14ac:dyDescent="0.2">
      <c r="A19" t="s">
        <v>85</v>
      </c>
      <c r="B19" t="s">
        <v>86</v>
      </c>
      <c r="C19" t="s">
        <v>71</v>
      </c>
      <c r="D19" t="s">
        <v>46</v>
      </c>
      <c r="E19" t="s">
        <v>412</v>
      </c>
      <c r="F19" t="s">
        <v>413</v>
      </c>
      <c r="G19">
        <v>550000</v>
      </c>
      <c r="H19" t="s">
        <v>47</v>
      </c>
      <c r="I19" t="s">
        <v>434</v>
      </c>
      <c r="J19" t="s">
        <v>149</v>
      </c>
      <c r="K19">
        <v>550000</v>
      </c>
      <c r="L19">
        <v>0</v>
      </c>
    </row>
    <row r="20" spans="1:12" x14ac:dyDescent="0.2">
      <c r="A20" t="s">
        <v>93</v>
      </c>
      <c r="B20" t="s">
        <v>94</v>
      </c>
      <c r="C20" t="s">
        <v>65</v>
      </c>
      <c r="D20" t="s">
        <v>66</v>
      </c>
      <c r="E20" t="s">
        <v>419</v>
      </c>
      <c r="F20" t="s">
        <v>420</v>
      </c>
      <c r="G20">
        <v>530000</v>
      </c>
      <c r="H20" t="s">
        <v>75</v>
      </c>
      <c r="I20" t="s">
        <v>434</v>
      </c>
      <c r="J20" t="s">
        <v>151</v>
      </c>
      <c r="K20">
        <v>530000</v>
      </c>
      <c r="L20">
        <v>0</v>
      </c>
    </row>
    <row r="21" spans="1:12" x14ac:dyDescent="0.2">
      <c r="A21" t="s">
        <v>102</v>
      </c>
      <c r="B21" t="s">
        <v>103</v>
      </c>
      <c r="C21" t="s">
        <v>45</v>
      </c>
      <c r="D21" t="s">
        <v>54</v>
      </c>
      <c r="E21" t="s">
        <v>427</v>
      </c>
      <c r="F21" t="s">
        <v>428</v>
      </c>
      <c r="G21">
        <v>185000</v>
      </c>
      <c r="H21" t="s">
        <v>75</v>
      </c>
      <c r="I21" t="s">
        <v>390</v>
      </c>
      <c r="J21" t="s">
        <v>145</v>
      </c>
      <c r="K21">
        <v>185000</v>
      </c>
      <c r="L21">
        <v>0</v>
      </c>
    </row>
    <row r="22" spans="1:12" x14ac:dyDescent="0.2">
      <c r="A22" t="s">
        <v>95</v>
      </c>
      <c r="B22" t="s">
        <v>96</v>
      </c>
      <c r="C22" t="s">
        <v>60</v>
      </c>
      <c r="D22" t="s">
        <v>54</v>
      </c>
      <c r="E22" t="s">
        <v>421</v>
      </c>
      <c r="F22" t="s">
        <v>422</v>
      </c>
      <c r="G22">
        <v>90000</v>
      </c>
      <c r="H22" t="s">
        <v>62</v>
      </c>
      <c r="I22" t="s">
        <v>390</v>
      </c>
    </row>
    <row r="23" spans="1:12" x14ac:dyDescent="0.2">
      <c r="A23" t="s">
        <v>97</v>
      </c>
      <c r="B23" t="s">
        <v>98</v>
      </c>
      <c r="C23" t="s">
        <v>99</v>
      </c>
      <c r="D23" t="s">
        <v>61</v>
      </c>
      <c r="E23" t="s">
        <v>423</v>
      </c>
      <c r="F23" t="s">
        <v>424</v>
      </c>
      <c r="G23">
        <v>560000</v>
      </c>
      <c r="H23" t="s">
        <v>62</v>
      </c>
      <c r="I23" t="s">
        <v>434</v>
      </c>
      <c r="J23" t="s">
        <v>153</v>
      </c>
      <c r="K23">
        <v>530000</v>
      </c>
      <c r="L23">
        <v>-30000</v>
      </c>
    </row>
    <row r="24" spans="1:12" x14ac:dyDescent="0.2">
      <c r="A24" t="s">
        <v>104</v>
      </c>
      <c r="B24" t="s">
        <v>105</v>
      </c>
      <c r="C24" t="s">
        <v>99</v>
      </c>
      <c r="D24" t="s">
        <v>61</v>
      </c>
      <c r="E24" t="s">
        <v>429</v>
      </c>
      <c r="F24" t="s">
        <v>423</v>
      </c>
      <c r="G24">
        <v>130000</v>
      </c>
      <c r="H24" t="s">
        <v>72</v>
      </c>
      <c r="I24" t="s">
        <v>390</v>
      </c>
    </row>
    <row r="25" spans="1:12" x14ac:dyDescent="0.2">
      <c r="A25" t="s">
        <v>106</v>
      </c>
      <c r="B25" t="s">
        <v>107</v>
      </c>
      <c r="C25" t="s">
        <v>45</v>
      </c>
      <c r="D25" t="s">
        <v>54</v>
      </c>
      <c r="E25" t="s">
        <v>430</v>
      </c>
      <c r="F25" t="s">
        <v>431</v>
      </c>
      <c r="G25">
        <v>435000</v>
      </c>
      <c r="H25" t="s">
        <v>62</v>
      </c>
      <c r="I25" t="s">
        <v>434</v>
      </c>
      <c r="J25" t="s">
        <v>137</v>
      </c>
      <c r="K25">
        <v>435000</v>
      </c>
      <c r="L25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FFDA-C9A5-C544-ADA2-CC8129BD1DEC}">
  <dimension ref="A1:B22"/>
  <sheetViews>
    <sheetView workbookViewId="0">
      <selection activeCell="H27" sqref="H27"/>
    </sheetView>
  </sheetViews>
  <sheetFormatPr baseColWidth="10" defaultRowHeight="15" x14ac:dyDescent="0.2"/>
  <cols>
    <col min="1" max="1" width="14" bestFit="1" customWidth="1"/>
    <col min="2" max="2" width="11.1640625" bestFit="1" customWidth="1"/>
  </cols>
  <sheetData>
    <row r="1" spans="1:2" x14ac:dyDescent="0.2">
      <c r="A1" t="s">
        <v>108</v>
      </c>
      <c r="B1" t="s">
        <v>441</v>
      </c>
    </row>
    <row r="2" spans="1:2" x14ac:dyDescent="0.2">
      <c r="A2" t="s">
        <v>116</v>
      </c>
      <c r="B2">
        <v>59000</v>
      </c>
    </row>
    <row r="3" spans="1:2" x14ac:dyDescent="0.2">
      <c r="A3" t="s">
        <v>134</v>
      </c>
      <c r="B3">
        <v>47500</v>
      </c>
    </row>
    <row r="4" spans="1:2" x14ac:dyDescent="0.2">
      <c r="A4" t="s">
        <v>120</v>
      </c>
      <c r="B4">
        <v>45500</v>
      </c>
    </row>
    <row r="5" spans="1:2" x14ac:dyDescent="0.2">
      <c r="A5" t="s">
        <v>118</v>
      </c>
      <c r="B5">
        <v>42000</v>
      </c>
    </row>
    <row r="6" spans="1:2" x14ac:dyDescent="0.2">
      <c r="A6" t="s">
        <v>137</v>
      </c>
      <c r="B6">
        <v>35000</v>
      </c>
    </row>
    <row r="7" spans="1:2" x14ac:dyDescent="0.2">
      <c r="A7" t="s">
        <v>124</v>
      </c>
      <c r="B7">
        <v>30500</v>
      </c>
    </row>
    <row r="8" spans="1:2" x14ac:dyDescent="0.2">
      <c r="A8" t="s">
        <v>149</v>
      </c>
      <c r="B8">
        <v>27000</v>
      </c>
    </row>
    <row r="9" spans="1:2" x14ac:dyDescent="0.2">
      <c r="A9" t="s">
        <v>114</v>
      </c>
      <c r="B9">
        <v>24500</v>
      </c>
    </row>
    <row r="10" spans="1:2" x14ac:dyDescent="0.2">
      <c r="A10" t="s">
        <v>153</v>
      </c>
      <c r="B10">
        <v>23000</v>
      </c>
    </row>
    <row r="11" spans="1:2" x14ac:dyDescent="0.2">
      <c r="A11" t="s">
        <v>143</v>
      </c>
      <c r="B11">
        <v>23000</v>
      </c>
    </row>
    <row r="12" spans="1:2" x14ac:dyDescent="0.2">
      <c r="A12" t="s">
        <v>126</v>
      </c>
      <c r="B12">
        <v>22500</v>
      </c>
    </row>
    <row r="13" spans="1:2" x14ac:dyDescent="0.2">
      <c r="A13" t="s">
        <v>135</v>
      </c>
      <c r="B13">
        <v>19500</v>
      </c>
    </row>
    <row r="14" spans="1:2" x14ac:dyDescent="0.2">
      <c r="A14" t="s">
        <v>141</v>
      </c>
      <c r="B14">
        <v>17000</v>
      </c>
    </row>
    <row r="15" spans="1:2" x14ac:dyDescent="0.2">
      <c r="A15" t="s">
        <v>147</v>
      </c>
      <c r="B15">
        <v>17000</v>
      </c>
    </row>
    <row r="16" spans="1:2" x14ac:dyDescent="0.2">
      <c r="A16" t="s">
        <v>130</v>
      </c>
      <c r="B16">
        <v>17000</v>
      </c>
    </row>
    <row r="17" spans="1:2" x14ac:dyDescent="0.2">
      <c r="A17" t="s">
        <v>140</v>
      </c>
      <c r="B17">
        <v>15500</v>
      </c>
    </row>
    <row r="18" spans="1:2" x14ac:dyDescent="0.2">
      <c r="A18" t="s">
        <v>122</v>
      </c>
      <c r="B18">
        <v>13500</v>
      </c>
    </row>
    <row r="19" spans="1:2" x14ac:dyDescent="0.2">
      <c r="A19" t="s">
        <v>151</v>
      </c>
      <c r="B19">
        <v>13000</v>
      </c>
    </row>
    <row r="20" spans="1:2" x14ac:dyDescent="0.2">
      <c r="A20" t="s">
        <v>139</v>
      </c>
      <c r="B20">
        <v>11000</v>
      </c>
    </row>
    <row r="21" spans="1:2" x14ac:dyDescent="0.2">
      <c r="A21" t="s">
        <v>145</v>
      </c>
      <c r="B21">
        <v>10000</v>
      </c>
    </row>
    <row r="22" spans="1:2" x14ac:dyDescent="0.2">
      <c r="A22" t="s">
        <v>132</v>
      </c>
      <c r="B22">
        <v>4000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0BCD-DD68-5844-86FF-8B3928016727}">
  <dimension ref="A1:B4"/>
  <sheetViews>
    <sheetView zoomScale="166" workbookViewId="0"/>
  </sheetViews>
  <sheetFormatPr baseColWidth="10" defaultRowHeight="15" x14ac:dyDescent="0.2"/>
  <cols>
    <col min="1" max="1" width="10.5" bestFit="1" customWidth="1"/>
    <col min="2" max="2" width="11.1640625" bestFit="1" customWidth="1"/>
  </cols>
  <sheetData>
    <row r="1" spans="1:2" x14ac:dyDescent="0.2">
      <c r="A1" t="s">
        <v>436</v>
      </c>
      <c r="B1" t="s">
        <v>441</v>
      </c>
    </row>
    <row r="2" spans="1:2" x14ac:dyDescent="0.2">
      <c r="A2" t="s">
        <v>438</v>
      </c>
      <c r="B2">
        <v>184000</v>
      </c>
    </row>
    <row r="3" spans="1:2" x14ac:dyDescent="0.2">
      <c r="A3" t="s">
        <v>440</v>
      </c>
      <c r="B3">
        <v>177500</v>
      </c>
    </row>
    <row r="4" spans="1:2" x14ac:dyDescent="0.2">
      <c r="A4" t="s">
        <v>439</v>
      </c>
      <c r="B4">
        <v>155500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A836-C051-3146-97AD-D5CAF77A7050}">
  <dimension ref="A1:C89"/>
  <sheetViews>
    <sheetView workbookViewId="0">
      <pane ySplit="1" topLeftCell="A46" activePane="bottomLeft" state="frozen"/>
      <selection pane="bottomLeft" activeCell="J86" sqref="J86"/>
    </sheetView>
  </sheetViews>
  <sheetFormatPr baseColWidth="10" defaultRowHeight="15" x14ac:dyDescent="0.2"/>
  <cols>
    <col min="1" max="1" width="14" bestFit="1" customWidth="1"/>
    <col min="2" max="2" width="9.83203125" bestFit="1" customWidth="1"/>
    <col min="3" max="3" width="10.1640625" bestFit="1" customWidth="1"/>
  </cols>
  <sheetData>
    <row r="1" spans="1:3" x14ac:dyDescent="0.2">
      <c r="A1" t="s">
        <v>108</v>
      </c>
      <c r="B1" t="s">
        <v>443</v>
      </c>
      <c r="C1" t="s">
        <v>376</v>
      </c>
    </row>
    <row r="2" spans="1:3" x14ac:dyDescent="0.2">
      <c r="A2" t="s">
        <v>114</v>
      </c>
      <c r="B2" t="s">
        <v>444</v>
      </c>
      <c r="C2">
        <v>51000</v>
      </c>
    </row>
    <row r="3" spans="1:3" x14ac:dyDescent="0.2">
      <c r="A3" t="s">
        <v>114</v>
      </c>
      <c r="B3" t="s">
        <v>445</v>
      </c>
      <c r="C3">
        <v>51000</v>
      </c>
    </row>
    <row r="4" spans="1:3" x14ac:dyDescent="0.2">
      <c r="A4" t="s">
        <v>114</v>
      </c>
      <c r="B4" t="s">
        <v>446</v>
      </c>
      <c r="C4">
        <v>42000</v>
      </c>
    </row>
    <row r="5" spans="1:3" x14ac:dyDescent="0.2">
      <c r="A5" t="s">
        <v>114</v>
      </c>
      <c r="B5" t="s">
        <v>447</v>
      </c>
      <c r="C5">
        <v>25000</v>
      </c>
    </row>
    <row r="6" spans="1:3" x14ac:dyDescent="0.2">
      <c r="A6" t="s">
        <v>116</v>
      </c>
      <c r="B6" t="s">
        <v>444</v>
      </c>
      <c r="C6">
        <v>120000</v>
      </c>
    </row>
    <row r="7" spans="1:3" x14ac:dyDescent="0.2">
      <c r="A7" t="s">
        <v>116</v>
      </c>
      <c r="B7" t="s">
        <v>445</v>
      </c>
      <c r="C7">
        <v>120000</v>
      </c>
    </row>
    <row r="8" spans="1:3" x14ac:dyDescent="0.2">
      <c r="A8" t="s">
        <v>116</v>
      </c>
      <c r="B8" t="s">
        <v>446</v>
      </c>
      <c r="C8">
        <v>100000</v>
      </c>
    </row>
    <row r="9" spans="1:3" x14ac:dyDescent="0.2">
      <c r="A9" t="s">
        <v>116</v>
      </c>
      <c r="B9" t="s">
        <v>447</v>
      </c>
      <c r="C9">
        <v>60000</v>
      </c>
    </row>
    <row r="10" spans="1:3" x14ac:dyDescent="0.2">
      <c r="A10" t="s">
        <v>118</v>
      </c>
      <c r="B10" t="s">
        <v>444</v>
      </c>
      <c r="C10">
        <v>188000</v>
      </c>
    </row>
    <row r="11" spans="1:3" x14ac:dyDescent="0.2">
      <c r="A11" t="s">
        <v>118</v>
      </c>
      <c r="B11" t="s">
        <v>445</v>
      </c>
      <c r="C11">
        <v>188000</v>
      </c>
    </row>
    <row r="12" spans="1:3" x14ac:dyDescent="0.2">
      <c r="A12" t="s">
        <v>118</v>
      </c>
      <c r="B12" t="s">
        <v>446</v>
      </c>
      <c r="C12">
        <v>156000</v>
      </c>
    </row>
    <row r="13" spans="1:3" x14ac:dyDescent="0.2">
      <c r="A13" t="s">
        <v>118</v>
      </c>
      <c r="B13" t="s">
        <v>447</v>
      </c>
      <c r="C13">
        <v>94000</v>
      </c>
    </row>
    <row r="14" spans="1:3" x14ac:dyDescent="0.2">
      <c r="A14" t="s">
        <v>120</v>
      </c>
      <c r="B14" t="s">
        <v>444</v>
      </c>
      <c r="C14">
        <v>129000</v>
      </c>
    </row>
    <row r="15" spans="1:3" x14ac:dyDescent="0.2">
      <c r="A15" t="s">
        <v>120</v>
      </c>
      <c r="B15" t="s">
        <v>445</v>
      </c>
      <c r="C15">
        <v>129000</v>
      </c>
    </row>
    <row r="16" spans="1:3" x14ac:dyDescent="0.2">
      <c r="A16" t="s">
        <v>120</v>
      </c>
      <c r="B16" t="s">
        <v>446</v>
      </c>
      <c r="C16">
        <v>107000</v>
      </c>
    </row>
    <row r="17" spans="1:3" x14ac:dyDescent="0.2">
      <c r="A17" t="s">
        <v>120</v>
      </c>
      <c r="B17" t="s">
        <v>447</v>
      </c>
      <c r="C17">
        <v>64000</v>
      </c>
    </row>
    <row r="18" spans="1:3" x14ac:dyDescent="0.2">
      <c r="A18" t="s">
        <v>122</v>
      </c>
      <c r="B18" t="s">
        <v>444</v>
      </c>
      <c r="C18">
        <v>52000</v>
      </c>
    </row>
    <row r="19" spans="1:3" x14ac:dyDescent="0.2">
      <c r="A19" t="s">
        <v>122</v>
      </c>
      <c r="B19" t="s">
        <v>445</v>
      </c>
      <c r="C19">
        <v>52000</v>
      </c>
    </row>
    <row r="20" spans="1:3" x14ac:dyDescent="0.2">
      <c r="A20" t="s">
        <v>122</v>
      </c>
      <c r="B20" t="s">
        <v>446</v>
      </c>
      <c r="C20">
        <v>43000</v>
      </c>
    </row>
    <row r="21" spans="1:3" x14ac:dyDescent="0.2">
      <c r="A21" t="s">
        <v>122</v>
      </c>
      <c r="B21" t="s">
        <v>447</v>
      </c>
      <c r="C21">
        <v>26000</v>
      </c>
    </row>
    <row r="22" spans="1:3" x14ac:dyDescent="0.2">
      <c r="A22" t="s">
        <v>124</v>
      </c>
      <c r="B22" t="s">
        <v>444</v>
      </c>
      <c r="C22">
        <v>90000</v>
      </c>
    </row>
    <row r="23" spans="1:3" x14ac:dyDescent="0.2">
      <c r="A23" t="s">
        <v>124</v>
      </c>
      <c r="B23" t="s">
        <v>445</v>
      </c>
      <c r="C23">
        <v>90000</v>
      </c>
    </row>
    <row r="24" spans="1:3" x14ac:dyDescent="0.2">
      <c r="A24" t="s">
        <v>124</v>
      </c>
      <c r="B24" t="s">
        <v>446</v>
      </c>
      <c r="C24">
        <v>75000</v>
      </c>
    </row>
    <row r="25" spans="1:3" x14ac:dyDescent="0.2">
      <c r="A25" t="s">
        <v>124</v>
      </c>
      <c r="B25" t="s">
        <v>447</v>
      </c>
      <c r="C25">
        <v>45000</v>
      </c>
    </row>
    <row r="26" spans="1:3" x14ac:dyDescent="0.2">
      <c r="A26" t="s">
        <v>126</v>
      </c>
      <c r="B26" t="s">
        <v>444</v>
      </c>
      <c r="C26">
        <v>59000</v>
      </c>
    </row>
    <row r="27" spans="1:3" x14ac:dyDescent="0.2">
      <c r="A27" t="s">
        <v>126</v>
      </c>
      <c r="B27" t="s">
        <v>445</v>
      </c>
      <c r="C27">
        <v>59000</v>
      </c>
    </row>
    <row r="28" spans="1:3" x14ac:dyDescent="0.2">
      <c r="A28" t="s">
        <v>126</v>
      </c>
      <c r="B28" t="s">
        <v>446</v>
      </c>
      <c r="C28">
        <v>49000</v>
      </c>
    </row>
    <row r="29" spans="1:3" x14ac:dyDescent="0.2">
      <c r="A29" t="s">
        <v>126</v>
      </c>
      <c r="B29" t="s">
        <v>447</v>
      </c>
      <c r="C29">
        <v>30000</v>
      </c>
    </row>
    <row r="30" spans="1:3" x14ac:dyDescent="0.2">
      <c r="A30" t="s">
        <v>128</v>
      </c>
      <c r="B30" t="s">
        <v>444</v>
      </c>
      <c r="C30">
        <v>16000</v>
      </c>
    </row>
    <row r="31" spans="1:3" x14ac:dyDescent="0.2">
      <c r="A31" t="s">
        <v>128</v>
      </c>
      <c r="B31" t="s">
        <v>445</v>
      </c>
      <c r="C31">
        <v>16000</v>
      </c>
    </row>
    <row r="32" spans="1:3" x14ac:dyDescent="0.2">
      <c r="A32" t="s">
        <v>128</v>
      </c>
      <c r="B32" t="s">
        <v>446</v>
      </c>
      <c r="C32">
        <v>13000</v>
      </c>
    </row>
    <row r="33" spans="1:3" x14ac:dyDescent="0.2">
      <c r="A33" t="s">
        <v>128</v>
      </c>
      <c r="B33" t="s">
        <v>447</v>
      </c>
      <c r="C33">
        <v>8000</v>
      </c>
    </row>
    <row r="34" spans="1:3" x14ac:dyDescent="0.2">
      <c r="A34" t="s">
        <v>130</v>
      </c>
      <c r="B34" t="s">
        <v>444</v>
      </c>
      <c r="C34">
        <v>132000</v>
      </c>
    </row>
    <row r="35" spans="1:3" x14ac:dyDescent="0.2">
      <c r="A35" t="s">
        <v>130</v>
      </c>
      <c r="B35" t="s">
        <v>445</v>
      </c>
      <c r="C35">
        <v>132000</v>
      </c>
    </row>
    <row r="36" spans="1:3" x14ac:dyDescent="0.2">
      <c r="A36" t="s">
        <v>130</v>
      </c>
      <c r="B36" t="s">
        <v>446</v>
      </c>
      <c r="C36">
        <v>110000</v>
      </c>
    </row>
    <row r="37" spans="1:3" x14ac:dyDescent="0.2">
      <c r="A37" t="s">
        <v>130</v>
      </c>
      <c r="B37" t="s">
        <v>447</v>
      </c>
      <c r="C37">
        <v>66000</v>
      </c>
    </row>
    <row r="38" spans="1:3" x14ac:dyDescent="0.2">
      <c r="A38" t="s">
        <v>132</v>
      </c>
      <c r="B38" t="s">
        <v>444</v>
      </c>
      <c r="C38">
        <v>79000</v>
      </c>
    </row>
    <row r="39" spans="1:3" x14ac:dyDescent="0.2">
      <c r="A39" t="s">
        <v>132</v>
      </c>
      <c r="B39" t="s">
        <v>445</v>
      </c>
      <c r="C39">
        <v>79000</v>
      </c>
    </row>
    <row r="40" spans="1:3" x14ac:dyDescent="0.2">
      <c r="A40" t="s">
        <v>132</v>
      </c>
      <c r="B40" t="s">
        <v>446</v>
      </c>
      <c r="C40">
        <v>66000</v>
      </c>
    </row>
    <row r="41" spans="1:3" x14ac:dyDescent="0.2">
      <c r="A41" t="s">
        <v>132</v>
      </c>
      <c r="B41" t="s">
        <v>447</v>
      </c>
      <c r="C41">
        <v>40000</v>
      </c>
    </row>
    <row r="42" spans="1:3" x14ac:dyDescent="0.2">
      <c r="A42" t="s">
        <v>134</v>
      </c>
      <c r="B42" t="s">
        <v>444</v>
      </c>
      <c r="C42">
        <v>140000</v>
      </c>
    </row>
    <row r="43" spans="1:3" x14ac:dyDescent="0.2">
      <c r="A43" t="s">
        <v>134</v>
      </c>
      <c r="B43" t="s">
        <v>445</v>
      </c>
      <c r="C43">
        <v>140000</v>
      </c>
    </row>
    <row r="44" spans="1:3" x14ac:dyDescent="0.2">
      <c r="A44" t="s">
        <v>134</v>
      </c>
      <c r="B44" t="s">
        <v>446</v>
      </c>
      <c r="C44">
        <v>117000</v>
      </c>
    </row>
    <row r="45" spans="1:3" x14ac:dyDescent="0.2">
      <c r="A45" t="s">
        <v>134</v>
      </c>
      <c r="B45" t="s">
        <v>447</v>
      </c>
      <c r="C45">
        <v>70000</v>
      </c>
    </row>
    <row r="46" spans="1:3" x14ac:dyDescent="0.2">
      <c r="A46" t="s">
        <v>135</v>
      </c>
      <c r="B46" t="s">
        <v>444</v>
      </c>
      <c r="C46">
        <v>39000</v>
      </c>
    </row>
    <row r="47" spans="1:3" x14ac:dyDescent="0.2">
      <c r="A47" t="s">
        <v>135</v>
      </c>
      <c r="B47" t="s">
        <v>445</v>
      </c>
      <c r="C47">
        <v>39000</v>
      </c>
    </row>
    <row r="48" spans="1:3" x14ac:dyDescent="0.2">
      <c r="A48" t="s">
        <v>135</v>
      </c>
      <c r="B48" t="s">
        <v>446</v>
      </c>
      <c r="C48">
        <v>32000</v>
      </c>
    </row>
    <row r="49" spans="1:3" x14ac:dyDescent="0.2">
      <c r="A49" t="s">
        <v>135</v>
      </c>
      <c r="B49" t="s">
        <v>447</v>
      </c>
      <c r="C49">
        <v>19000</v>
      </c>
    </row>
    <row r="50" spans="1:3" x14ac:dyDescent="0.2">
      <c r="A50" t="s">
        <v>137</v>
      </c>
      <c r="B50" t="s">
        <v>444</v>
      </c>
      <c r="C50">
        <v>145000</v>
      </c>
    </row>
    <row r="51" spans="1:3" x14ac:dyDescent="0.2">
      <c r="A51" t="s">
        <v>137</v>
      </c>
      <c r="B51" t="s">
        <v>445</v>
      </c>
      <c r="C51">
        <v>145000</v>
      </c>
    </row>
    <row r="52" spans="1:3" x14ac:dyDescent="0.2">
      <c r="A52" t="s">
        <v>137</v>
      </c>
      <c r="B52" t="s">
        <v>446</v>
      </c>
      <c r="C52">
        <v>120000</v>
      </c>
    </row>
    <row r="53" spans="1:3" x14ac:dyDescent="0.2">
      <c r="A53" t="s">
        <v>137</v>
      </c>
      <c r="B53" t="s">
        <v>447</v>
      </c>
      <c r="C53">
        <v>72000</v>
      </c>
    </row>
    <row r="54" spans="1:3" x14ac:dyDescent="0.2">
      <c r="A54" t="s">
        <v>139</v>
      </c>
      <c r="B54" t="s">
        <v>444</v>
      </c>
      <c r="C54">
        <v>112000</v>
      </c>
    </row>
    <row r="55" spans="1:3" x14ac:dyDescent="0.2">
      <c r="A55" t="s">
        <v>139</v>
      </c>
      <c r="B55" t="s">
        <v>445</v>
      </c>
      <c r="C55">
        <v>112000</v>
      </c>
    </row>
    <row r="56" spans="1:3" x14ac:dyDescent="0.2">
      <c r="A56" t="s">
        <v>139</v>
      </c>
      <c r="B56" t="s">
        <v>446</v>
      </c>
      <c r="C56">
        <v>94000</v>
      </c>
    </row>
    <row r="57" spans="1:3" x14ac:dyDescent="0.2">
      <c r="A57" t="s">
        <v>139</v>
      </c>
      <c r="B57" t="s">
        <v>447</v>
      </c>
      <c r="C57">
        <v>56000</v>
      </c>
    </row>
    <row r="58" spans="1:3" x14ac:dyDescent="0.2">
      <c r="A58" t="s">
        <v>140</v>
      </c>
      <c r="B58" t="s">
        <v>444</v>
      </c>
      <c r="C58">
        <v>208000</v>
      </c>
    </row>
    <row r="59" spans="1:3" x14ac:dyDescent="0.2">
      <c r="A59" t="s">
        <v>140</v>
      </c>
      <c r="B59" t="s">
        <v>445</v>
      </c>
      <c r="C59">
        <v>208000</v>
      </c>
    </row>
    <row r="60" spans="1:3" x14ac:dyDescent="0.2">
      <c r="A60" t="s">
        <v>140</v>
      </c>
      <c r="B60" t="s">
        <v>446</v>
      </c>
      <c r="C60">
        <v>173000</v>
      </c>
    </row>
    <row r="61" spans="1:3" x14ac:dyDescent="0.2">
      <c r="A61" t="s">
        <v>140</v>
      </c>
      <c r="B61" t="s">
        <v>447</v>
      </c>
      <c r="C61">
        <v>104000</v>
      </c>
    </row>
    <row r="62" spans="1:3" x14ac:dyDescent="0.2">
      <c r="A62" t="s">
        <v>141</v>
      </c>
      <c r="B62" t="s">
        <v>444</v>
      </c>
      <c r="C62">
        <v>29000</v>
      </c>
    </row>
    <row r="63" spans="1:3" x14ac:dyDescent="0.2">
      <c r="A63" t="s">
        <v>141</v>
      </c>
      <c r="B63" t="s">
        <v>445</v>
      </c>
      <c r="C63">
        <v>29000</v>
      </c>
    </row>
    <row r="64" spans="1:3" x14ac:dyDescent="0.2">
      <c r="A64" t="s">
        <v>141</v>
      </c>
      <c r="B64" t="s">
        <v>446</v>
      </c>
      <c r="C64">
        <v>24000</v>
      </c>
    </row>
    <row r="65" spans="1:3" x14ac:dyDescent="0.2">
      <c r="A65" t="s">
        <v>141</v>
      </c>
      <c r="B65" t="s">
        <v>447</v>
      </c>
      <c r="C65">
        <v>15000</v>
      </c>
    </row>
    <row r="66" spans="1:3" x14ac:dyDescent="0.2">
      <c r="A66" t="s">
        <v>143</v>
      </c>
      <c r="B66" t="s">
        <v>444</v>
      </c>
      <c r="C66">
        <v>32000</v>
      </c>
    </row>
    <row r="67" spans="1:3" x14ac:dyDescent="0.2">
      <c r="A67" t="s">
        <v>143</v>
      </c>
      <c r="B67" t="s">
        <v>445</v>
      </c>
      <c r="C67">
        <v>32000</v>
      </c>
    </row>
    <row r="68" spans="1:3" x14ac:dyDescent="0.2">
      <c r="A68" t="s">
        <v>143</v>
      </c>
      <c r="B68" t="s">
        <v>446</v>
      </c>
      <c r="C68">
        <v>27000</v>
      </c>
    </row>
    <row r="69" spans="1:3" x14ac:dyDescent="0.2">
      <c r="A69" t="s">
        <v>143</v>
      </c>
      <c r="B69" t="s">
        <v>447</v>
      </c>
      <c r="C69">
        <v>16000</v>
      </c>
    </row>
    <row r="70" spans="1:3" x14ac:dyDescent="0.2">
      <c r="A70" t="s">
        <v>145</v>
      </c>
      <c r="B70" t="s">
        <v>444</v>
      </c>
      <c r="C70">
        <v>63000</v>
      </c>
    </row>
    <row r="71" spans="1:3" x14ac:dyDescent="0.2">
      <c r="A71" t="s">
        <v>145</v>
      </c>
      <c r="B71" t="s">
        <v>445</v>
      </c>
      <c r="C71">
        <v>63000</v>
      </c>
    </row>
    <row r="72" spans="1:3" x14ac:dyDescent="0.2">
      <c r="A72" t="s">
        <v>145</v>
      </c>
      <c r="B72" t="s">
        <v>446</v>
      </c>
      <c r="C72">
        <v>52000</v>
      </c>
    </row>
    <row r="73" spans="1:3" x14ac:dyDescent="0.2">
      <c r="A73" t="s">
        <v>145</v>
      </c>
      <c r="B73" t="s">
        <v>447</v>
      </c>
      <c r="C73">
        <v>31000</v>
      </c>
    </row>
    <row r="74" spans="1:3" x14ac:dyDescent="0.2">
      <c r="A74" t="s">
        <v>147</v>
      </c>
      <c r="B74" t="s">
        <v>444</v>
      </c>
      <c r="C74">
        <v>135000</v>
      </c>
    </row>
    <row r="75" spans="1:3" x14ac:dyDescent="0.2">
      <c r="A75" t="s">
        <v>147</v>
      </c>
      <c r="B75" t="s">
        <v>445</v>
      </c>
      <c r="C75">
        <v>135000</v>
      </c>
    </row>
    <row r="76" spans="1:3" x14ac:dyDescent="0.2">
      <c r="A76" t="s">
        <v>147</v>
      </c>
      <c r="B76" t="s">
        <v>446</v>
      </c>
      <c r="C76">
        <v>112000</v>
      </c>
    </row>
    <row r="77" spans="1:3" x14ac:dyDescent="0.2">
      <c r="A77" t="s">
        <v>147</v>
      </c>
      <c r="B77" t="s">
        <v>447</v>
      </c>
      <c r="C77">
        <v>68000</v>
      </c>
    </row>
    <row r="78" spans="1:3" x14ac:dyDescent="0.2">
      <c r="A78" t="s">
        <v>149</v>
      </c>
      <c r="B78" t="s">
        <v>444</v>
      </c>
      <c r="C78">
        <v>188000</v>
      </c>
    </row>
    <row r="79" spans="1:3" x14ac:dyDescent="0.2">
      <c r="A79" t="s">
        <v>149</v>
      </c>
      <c r="B79" t="s">
        <v>445</v>
      </c>
      <c r="C79">
        <v>188000</v>
      </c>
    </row>
    <row r="80" spans="1:3" x14ac:dyDescent="0.2">
      <c r="A80" t="s">
        <v>149</v>
      </c>
      <c r="B80" t="s">
        <v>446</v>
      </c>
      <c r="C80">
        <v>157000</v>
      </c>
    </row>
    <row r="81" spans="1:3" x14ac:dyDescent="0.2">
      <c r="A81" t="s">
        <v>149</v>
      </c>
      <c r="B81" t="s">
        <v>447</v>
      </c>
      <c r="C81">
        <v>94000</v>
      </c>
    </row>
    <row r="82" spans="1:3" x14ac:dyDescent="0.2">
      <c r="A82" t="s">
        <v>151</v>
      </c>
      <c r="B82" t="s">
        <v>444</v>
      </c>
      <c r="C82">
        <v>164000</v>
      </c>
    </row>
    <row r="83" spans="1:3" x14ac:dyDescent="0.2">
      <c r="A83" t="s">
        <v>151</v>
      </c>
      <c r="B83" t="s">
        <v>445</v>
      </c>
      <c r="C83">
        <v>164000</v>
      </c>
    </row>
    <row r="84" spans="1:3" x14ac:dyDescent="0.2">
      <c r="A84" t="s">
        <v>151</v>
      </c>
      <c r="B84" t="s">
        <v>446</v>
      </c>
      <c r="C84">
        <v>137000</v>
      </c>
    </row>
    <row r="85" spans="1:3" x14ac:dyDescent="0.2">
      <c r="A85" t="s">
        <v>151</v>
      </c>
      <c r="B85" t="s">
        <v>447</v>
      </c>
      <c r="C85">
        <v>82000</v>
      </c>
    </row>
    <row r="86" spans="1:3" x14ac:dyDescent="0.2">
      <c r="A86" t="s">
        <v>153</v>
      </c>
      <c r="B86" t="s">
        <v>444</v>
      </c>
      <c r="C86">
        <v>165000</v>
      </c>
    </row>
    <row r="87" spans="1:3" x14ac:dyDescent="0.2">
      <c r="A87" t="s">
        <v>153</v>
      </c>
      <c r="B87" t="s">
        <v>445</v>
      </c>
      <c r="C87">
        <v>165000</v>
      </c>
    </row>
    <row r="88" spans="1:3" x14ac:dyDescent="0.2">
      <c r="A88" t="s">
        <v>153</v>
      </c>
      <c r="B88" t="s">
        <v>446</v>
      </c>
      <c r="C88">
        <v>138000</v>
      </c>
    </row>
    <row r="89" spans="1:3" x14ac:dyDescent="0.2">
      <c r="A89" t="s">
        <v>153</v>
      </c>
      <c r="B89" t="s">
        <v>447</v>
      </c>
      <c r="C89">
        <v>83000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1CDC-16A8-5B44-9FD9-7CD69D0D69E7}">
  <dimension ref="A1:C3"/>
  <sheetViews>
    <sheetView workbookViewId="0"/>
  </sheetViews>
  <sheetFormatPr baseColWidth="10" defaultRowHeight="15" x14ac:dyDescent="0.2"/>
  <cols>
    <col min="1" max="1" width="14" bestFit="1" customWidth="1"/>
    <col min="2" max="2" width="22.5" bestFit="1" customWidth="1"/>
    <col min="3" max="3" width="17.1640625" bestFit="1" customWidth="1"/>
  </cols>
  <sheetData>
    <row r="1" spans="1:3" x14ac:dyDescent="0.2">
      <c r="A1" t="s">
        <v>108</v>
      </c>
      <c r="B1" t="s">
        <v>109</v>
      </c>
      <c r="C1" t="s">
        <v>375</v>
      </c>
    </row>
    <row r="2" spans="1:3" x14ac:dyDescent="0.2">
      <c r="A2" s="51" t="s">
        <v>128</v>
      </c>
      <c r="B2" s="51" t="s">
        <v>129</v>
      </c>
      <c r="C2">
        <v>60000</v>
      </c>
    </row>
    <row r="3" spans="1:3" x14ac:dyDescent="0.2">
      <c r="A3" s="51" t="s">
        <v>141</v>
      </c>
      <c r="B3" s="51" t="s">
        <v>142</v>
      </c>
      <c r="C3">
        <v>95000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E2B7-CF82-F64F-AF4A-9EAEBD1873A6}">
  <dimension ref="A1:N25"/>
  <sheetViews>
    <sheetView topLeftCell="D1" workbookViewId="0">
      <selection activeCell="J42" sqref="J42"/>
    </sheetView>
  </sheetViews>
  <sheetFormatPr baseColWidth="10" defaultRowHeight="15" x14ac:dyDescent="0.2"/>
  <cols>
    <col min="1" max="1" width="11.33203125" bestFit="1" customWidth="1"/>
    <col min="2" max="2" width="26.33203125" bestFit="1" customWidth="1"/>
    <col min="3" max="3" width="13.6640625" bestFit="1" customWidth="1"/>
    <col min="4" max="4" width="10.1640625" bestFit="1" customWidth="1"/>
    <col min="5" max="5" width="11.33203125" bestFit="1" customWidth="1"/>
    <col min="6" max="6" width="10.5" bestFit="1" customWidth="1"/>
    <col min="7" max="7" width="9.1640625" bestFit="1" customWidth="1"/>
    <col min="8" max="8" width="8.5" bestFit="1" customWidth="1"/>
    <col min="9" max="9" width="13.33203125" bestFit="1" customWidth="1"/>
    <col min="10" max="10" width="14" bestFit="1" customWidth="1"/>
    <col min="11" max="11" width="17.1640625" bestFit="1" customWidth="1"/>
    <col min="12" max="12" width="17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t="s">
        <v>35</v>
      </c>
      <c r="B1" t="s">
        <v>36</v>
      </c>
      <c r="C1" t="s">
        <v>382</v>
      </c>
      <c r="D1" t="s">
        <v>38</v>
      </c>
      <c r="E1" t="s">
        <v>39</v>
      </c>
      <c r="F1" t="s">
        <v>40</v>
      </c>
      <c r="G1" t="s">
        <v>383</v>
      </c>
      <c r="H1" t="s">
        <v>42</v>
      </c>
      <c r="I1" t="s">
        <v>384</v>
      </c>
      <c r="J1" t="s">
        <v>108</v>
      </c>
      <c r="K1" t="s">
        <v>375</v>
      </c>
      <c r="L1" t="s">
        <v>442</v>
      </c>
      <c r="M1" t="s">
        <v>441</v>
      </c>
      <c r="N1" t="s">
        <v>462</v>
      </c>
    </row>
    <row r="2" spans="1:14" x14ac:dyDescent="0.2">
      <c r="A2" s="51" t="s">
        <v>76</v>
      </c>
      <c r="B2" s="51" t="s">
        <v>77</v>
      </c>
      <c r="C2" s="51" t="s">
        <v>65</v>
      </c>
      <c r="D2" s="51" t="s">
        <v>54</v>
      </c>
      <c r="E2" s="51" t="s">
        <v>404</v>
      </c>
      <c r="F2" s="51" t="s">
        <v>405</v>
      </c>
      <c r="G2">
        <v>90000</v>
      </c>
      <c r="H2" s="51" t="s">
        <v>72</v>
      </c>
      <c r="I2" t="s">
        <v>390</v>
      </c>
      <c r="J2" s="51" t="s">
        <v>143</v>
      </c>
      <c r="K2">
        <v>90000</v>
      </c>
      <c r="L2">
        <v>0</v>
      </c>
      <c r="M2">
        <v>23000</v>
      </c>
      <c r="N2">
        <v>0.25555555555555598</v>
      </c>
    </row>
    <row r="3" spans="1:14" x14ac:dyDescent="0.2">
      <c r="A3" s="51" t="s">
        <v>91</v>
      </c>
      <c r="B3" s="51" t="s">
        <v>92</v>
      </c>
      <c r="C3" s="51" t="s">
        <v>84</v>
      </c>
      <c r="D3" s="51" t="s">
        <v>66</v>
      </c>
      <c r="E3" s="51" t="s">
        <v>417</v>
      </c>
      <c r="F3" s="51" t="s">
        <v>418</v>
      </c>
      <c r="G3">
        <v>335000</v>
      </c>
      <c r="H3" s="51" t="s">
        <v>47</v>
      </c>
      <c r="I3" t="s">
        <v>387</v>
      </c>
      <c r="J3" s="51" t="s">
        <v>116</v>
      </c>
      <c r="K3">
        <v>335000</v>
      </c>
      <c r="L3">
        <v>0</v>
      </c>
      <c r="M3">
        <v>59000</v>
      </c>
      <c r="N3">
        <v>0.176119402985075</v>
      </c>
    </row>
    <row r="4" spans="1:14" x14ac:dyDescent="0.2">
      <c r="A4" s="51" t="s">
        <v>80</v>
      </c>
      <c r="B4" s="51" t="s">
        <v>81</v>
      </c>
      <c r="C4" s="51" t="s">
        <v>71</v>
      </c>
      <c r="D4" s="51" t="s">
        <v>54</v>
      </c>
      <c r="E4" s="51" t="s">
        <v>408</v>
      </c>
      <c r="F4" s="51" t="s">
        <v>409</v>
      </c>
      <c r="G4">
        <v>135000</v>
      </c>
      <c r="H4" s="51" t="s">
        <v>47</v>
      </c>
      <c r="I4" t="s">
        <v>390</v>
      </c>
      <c r="J4" s="51" t="s">
        <v>135</v>
      </c>
      <c r="K4">
        <v>135000</v>
      </c>
      <c r="L4">
        <v>0</v>
      </c>
      <c r="M4">
        <v>19500</v>
      </c>
      <c r="N4">
        <v>0.14444444444444399</v>
      </c>
    </row>
    <row r="5" spans="1:14" x14ac:dyDescent="0.2">
      <c r="A5" s="51" t="s">
        <v>51</v>
      </c>
      <c r="B5" s="51" t="s">
        <v>52</v>
      </c>
      <c r="C5" s="51" t="s">
        <v>53</v>
      </c>
      <c r="D5" s="51" t="s">
        <v>54</v>
      </c>
      <c r="E5" s="51" t="s">
        <v>388</v>
      </c>
      <c r="F5" s="51" t="s">
        <v>389</v>
      </c>
      <c r="G5">
        <v>190000</v>
      </c>
      <c r="H5" s="51" t="s">
        <v>47</v>
      </c>
      <c r="I5" t="s">
        <v>390</v>
      </c>
      <c r="J5" s="51" t="s">
        <v>114</v>
      </c>
      <c r="K5">
        <v>190000</v>
      </c>
      <c r="L5">
        <v>0</v>
      </c>
      <c r="M5">
        <v>24500</v>
      </c>
      <c r="N5">
        <v>0.128947368421053</v>
      </c>
    </row>
    <row r="6" spans="1:14" x14ac:dyDescent="0.2">
      <c r="A6" s="51" t="s">
        <v>100</v>
      </c>
      <c r="B6" s="51" t="s">
        <v>101</v>
      </c>
      <c r="C6" s="51" t="s">
        <v>60</v>
      </c>
      <c r="D6" s="51" t="s">
        <v>46</v>
      </c>
      <c r="E6" s="51" t="s">
        <v>425</v>
      </c>
      <c r="F6" s="51" t="s">
        <v>426</v>
      </c>
      <c r="G6">
        <v>185000</v>
      </c>
      <c r="H6" s="51" t="s">
        <v>75</v>
      </c>
      <c r="I6" t="s">
        <v>390</v>
      </c>
      <c r="J6" s="51" t="s">
        <v>126</v>
      </c>
      <c r="K6">
        <v>185000</v>
      </c>
      <c r="L6">
        <v>0</v>
      </c>
      <c r="M6">
        <v>22500</v>
      </c>
      <c r="N6">
        <v>0.121621621621622</v>
      </c>
    </row>
    <row r="7" spans="1:14" x14ac:dyDescent="0.2">
      <c r="A7" s="51" t="s">
        <v>63</v>
      </c>
      <c r="B7" s="51" t="s">
        <v>64</v>
      </c>
      <c r="C7" s="51" t="s">
        <v>65</v>
      </c>
      <c r="D7" s="51" t="s">
        <v>66</v>
      </c>
      <c r="E7" s="51" t="s">
        <v>395</v>
      </c>
      <c r="F7" s="51" t="s">
        <v>396</v>
      </c>
      <c r="G7">
        <v>405000</v>
      </c>
      <c r="H7" s="51" t="s">
        <v>47</v>
      </c>
      <c r="I7" t="s">
        <v>434</v>
      </c>
      <c r="J7" s="51" t="s">
        <v>134</v>
      </c>
      <c r="K7">
        <v>405000</v>
      </c>
      <c r="L7">
        <v>0</v>
      </c>
      <c r="M7">
        <v>47500</v>
      </c>
      <c r="N7">
        <v>0.117283950617284</v>
      </c>
    </row>
    <row r="8" spans="1:14" x14ac:dyDescent="0.2">
      <c r="A8" s="51" t="s">
        <v>87</v>
      </c>
      <c r="B8" s="51" t="s">
        <v>121</v>
      </c>
      <c r="C8" s="51" t="s">
        <v>53</v>
      </c>
      <c r="D8" s="51" t="s">
        <v>46</v>
      </c>
      <c r="E8" s="51" t="s">
        <v>414</v>
      </c>
      <c r="F8" s="51" t="s">
        <v>381</v>
      </c>
      <c r="G8">
        <v>465000</v>
      </c>
      <c r="H8" s="51" t="s">
        <v>72</v>
      </c>
      <c r="I8" t="s">
        <v>434</v>
      </c>
      <c r="J8" s="51" t="s">
        <v>120</v>
      </c>
      <c r="K8">
        <v>465000</v>
      </c>
      <c r="L8">
        <v>0</v>
      </c>
      <c r="M8">
        <v>45500</v>
      </c>
      <c r="N8">
        <v>9.7849462365591403E-2</v>
      </c>
    </row>
    <row r="9" spans="1:14" x14ac:dyDescent="0.2">
      <c r="A9" s="51" t="s">
        <v>48</v>
      </c>
      <c r="B9" s="51" t="s">
        <v>49</v>
      </c>
      <c r="C9" s="51" t="s">
        <v>50</v>
      </c>
      <c r="D9" s="51" t="s">
        <v>46</v>
      </c>
      <c r="E9" s="51" t="s">
        <v>385</v>
      </c>
      <c r="F9" s="51" t="s">
        <v>386</v>
      </c>
      <c r="G9">
        <v>360000</v>
      </c>
      <c r="H9" s="51" t="s">
        <v>47</v>
      </c>
      <c r="I9" t="s">
        <v>387</v>
      </c>
      <c r="J9" s="51" t="s">
        <v>124</v>
      </c>
      <c r="K9">
        <v>360000</v>
      </c>
      <c r="L9">
        <v>0</v>
      </c>
      <c r="M9">
        <v>30500</v>
      </c>
      <c r="N9">
        <v>8.4722222222222199E-2</v>
      </c>
    </row>
    <row r="10" spans="1:14" x14ac:dyDescent="0.2">
      <c r="A10" s="51" t="s">
        <v>67</v>
      </c>
      <c r="B10" s="51" t="s">
        <v>68</v>
      </c>
      <c r="C10" s="51" t="s">
        <v>397</v>
      </c>
      <c r="D10" s="51" t="s">
        <v>46</v>
      </c>
      <c r="E10" s="51" t="s">
        <v>398</v>
      </c>
      <c r="F10" s="51" t="s">
        <v>399</v>
      </c>
      <c r="G10">
        <v>160000</v>
      </c>
      <c r="H10" s="51" t="s">
        <v>47</v>
      </c>
      <c r="I10" t="s">
        <v>390</v>
      </c>
      <c r="J10" s="51" t="s">
        <v>122</v>
      </c>
      <c r="K10">
        <v>160000</v>
      </c>
      <c r="L10">
        <v>0</v>
      </c>
      <c r="M10">
        <v>13500</v>
      </c>
      <c r="N10">
        <v>8.4375000000000006E-2</v>
      </c>
    </row>
    <row r="11" spans="1:14" x14ac:dyDescent="0.2">
      <c r="A11" s="51" t="s">
        <v>106</v>
      </c>
      <c r="B11" s="51" t="s">
        <v>107</v>
      </c>
      <c r="C11" s="51" t="s">
        <v>45</v>
      </c>
      <c r="D11" s="51" t="s">
        <v>54</v>
      </c>
      <c r="E11" s="51" t="s">
        <v>430</v>
      </c>
      <c r="F11" s="51" t="s">
        <v>431</v>
      </c>
      <c r="G11">
        <v>435000</v>
      </c>
      <c r="H11" s="51" t="s">
        <v>62</v>
      </c>
      <c r="I11" t="s">
        <v>434</v>
      </c>
      <c r="J11" s="51" t="s">
        <v>137</v>
      </c>
      <c r="K11">
        <v>435000</v>
      </c>
      <c r="L11">
        <v>0</v>
      </c>
      <c r="M11">
        <v>35000</v>
      </c>
      <c r="N11">
        <v>8.04597701149425E-2</v>
      </c>
    </row>
    <row r="12" spans="1:14" x14ac:dyDescent="0.2">
      <c r="A12" s="51" t="s">
        <v>89</v>
      </c>
      <c r="B12" s="51" t="s">
        <v>90</v>
      </c>
      <c r="C12" s="51" t="s">
        <v>71</v>
      </c>
      <c r="D12" s="51" t="s">
        <v>61</v>
      </c>
      <c r="E12" s="51" t="s">
        <v>415</v>
      </c>
      <c r="F12" s="51" t="s">
        <v>416</v>
      </c>
      <c r="G12">
        <v>565000</v>
      </c>
      <c r="H12" s="51" t="s">
        <v>62</v>
      </c>
      <c r="I12" t="s">
        <v>434</v>
      </c>
      <c r="J12" s="51" t="s">
        <v>118</v>
      </c>
      <c r="K12">
        <v>535000</v>
      </c>
      <c r="L12">
        <v>-30000</v>
      </c>
      <c r="M12">
        <v>42000</v>
      </c>
      <c r="N12">
        <v>7.8504672897196301E-2</v>
      </c>
    </row>
    <row r="13" spans="1:14" x14ac:dyDescent="0.2">
      <c r="A13" s="51" t="s">
        <v>102</v>
      </c>
      <c r="B13" s="51" t="s">
        <v>103</v>
      </c>
      <c r="C13" s="51" t="s">
        <v>45</v>
      </c>
      <c r="D13" s="51" t="s">
        <v>54</v>
      </c>
      <c r="E13" s="51" t="s">
        <v>427</v>
      </c>
      <c r="F13" s="51" t="s">
        <v>428</v>
      </c>
      <c r="G13">
        <v>185000</v>
      </c>
      <c r="H13" s="51" t="s">
        <v>75</v>
      </c>
      <c r="I13" t="s">
        <v>390</v>
      </c>
      <c r="J13" s="51" t="s">
        <v>145</v>
      </c>
      <c r="K13">
        <v>185000</v>
      </c>
      <c r="L13">
        <v>0</v>
      </c>
      <c r="M13">
        <v>10000</v>
      </c>
      <c r="N13">
        <v>5.4054054054054099E-2</v>
      </c>
    </row>
    <row r="14" spans="1:14" x14ac:dyDescent="0.2">
      <c r="A14" s="51" t="s">
        <v>85</v>
      </c>
      <c r="B14" s="51" t="s">
        <v>86</v>
      </c>
      <c r="C14" s="51" t="s">
        <v>71</v>
      </c>
      <c r="D14" s="51" t="s">
        <v>46</v>
      </c>
      <c r="E14" s="51" t="s">
        <v>412</v>
      </c>
      <c r="F14" s="51" t="s">
        <v>413</v>
      </c>
      <c r="G14">
        <v>550000</v>
      </c>
      <c r="H14" s="51" t="s">
        <v>47</v>
      </c>
      <c r="I14" t="s">
        <v>434</v>
      </c>
      <c r="J14" s="51" t="s">
        <v>149</v>
      </c>
      <c r="K14">
        <v>550000</v>
      </c>
      <c r="L14">
        <v>0</v>
      </c>
      <c r="M14">
        <v>27000</v>
      </c>
      <c r="N14">
        <v>4.9090909090909102E-2</v>
      </c>
    </row>
    <row r="15" spans="1:14" x14ac:dyDescent="0.2">
      <c r="A15" s="51" t="s">
        <v>97</v>
      </c>
      <c r="B15" s="51" t="s">
        <v>98</v>
      </c>
      <c r="C15" s="51" t="s">
        <v>99</v>
      </c>
      <c r="D15" s="51" t="s">
        <v>61</v>
      </c>
      <c r="E15" s="51" t="s">
        <v>423</v>
      </c>
      <c r="F15" s="51" t="s">
        <v>424</v>
      </c>
      <c r="G15">
        <v>560000</v>
      </c>
      <c r="H15" s="51" t="s">
        <v>62</v>
      </c>
      <c r="I15" t="s">
        <v>434</v>
      </c>
      <c r="J15" s="51" t="s">
        <v>153</v>
      </c>
      <c r="K15">
        <v>530000</v>
      </c>
      <c r="L15">
        <v>-30000</v>
      </c>
      <c r="M15">
        <v>23000</v>
      </c>
      <c r="N15">
        <v>4.3396226415094302E-2</v>
      </c>
    </row>
    <row r="16" spans="1:14" x14ac:dyDescent="0.2">
      <c r="A16" s="51" t="s">
        <v>82</v>
      </c>
      <c r="B16" s="51" t="s">
        <v>83</v>
      </c>
      <c r="C16" s="51" t="s">
        <v>84</v>
      </c>
      <c r="D16" s="51" t="s">
        <v>61</v>
      </c>
      <c r="E16" s="51" t="s">
        <v>410</v>
      </c>
      <c r="F16" s="51" t="s">
        <v>411</v>
      </c>
      <c r="G16">
        <v>395000</v>
      </c>
      <c r="H16" s="51" t="s">
        <v>72</v>
      </c>
      <c r="I16" t="s">
        <v>387</v>
      </c>
      <c r="J16" s="51" t="s">
        <v>130</v>
      </c>
      <c r="K16">
        <v>395000</v>
      </c>
      <c r="L16">
        <v>0</v>
      </c>
      <c r="M16">
        <v>17000</v>
      </c>
      <c r="N16">
        <v>4.3037974683544297E-2</v>
      </c>
    </row>
    <row r="17" spans="1:14" x14ac:dyDescent="0.2">
      <c r="A17" s="51" t="s">
        <v>43</v>
      </c>
      <c r="B17" s="51" t="s">
        <v>44</v>
      </c>
      <c r="C17" s="51" t="s">
        <v>45</v>
      </c>
      <c r="D17" s="51" t="s">
        <v>46</v>
      </c>
      <c r="E17" s="51" t="s">
        <v>432</v>
      </c>
      <c r="F17" s="51" t="s">
        <v>433</v>
      </c>
      <c r="G17">
        <v>455000</v>
      </c>
      <c r="H17" s="51" t="s">
        <v>47</v>
      </c>
      <c r="I17" t="s">
        <v>434</v>
      </c>
      <c r="J17" s="51" t="s">
        <v>147</v>
      </c>
      <c r="K17">
        <v>455000</v>
      </c>
      <c r="L17">
        <v>0</v>
      </c>
      <c r="M17">
        <v>17000</v>
      </c>
      <c r="N17">
        <v>3.7362637362637403E-2</v>
      </c>
    </row>
    <row r="18" spans="1:14" x14ac:dyDescent="0.2">
      <c r="A18" s="51" t="s">
        <v>58</v>
      </c>
      <c r="B18" s="51" t="s">
        <v>59</v>
      </c>
      <c r="C18" s="51" t="s">
        <v>60</v>
      </c>
      <c r="D18" s="51" t="s">
        <v>61</v>
      </c>
      <c r="E18" s="51" t="s">
        <v>393</v>
      </c>
      <c r="F18" s="51" t="s">
        <v>394</v>
      </c>
      <c r="G18">
        <v>585000</v>
      </c>
      <c r="H18" s="51" t="s">
        <v>62</v>
      </c>
      <c r="I18" t="s">
        <v>434</v>
      </c>
      <c r="J18" s="51" t="s">
        <v>140</v>
      </c>
      <c r="K18">
        <v>585000</v>
      </c>
      <c r="L18">
        <v>0</v>
      </c>
      <c r="M18">
        <v>15500</v>
      </c>
      <c r="N18">
        <v>2.6495726495726499E-2</v>
      </c>
    </row>
    <row r="19" spans="1:14" x14ac:dyDescent="0.2">
      <c r="A19" s="51" t="s">
        <v>55</v>
      </c>
      <c r="B19" s="51" t="s">
        <v>56</v>
      </c>
      <c r="C19" s="51" t="s">
        <v>45</v>
      </c>
      <c r="D19" s="51" t="s">
        <v>54</v>
      </c>
      <c r="E19" s="51" t="s">
        <v>391</v>
      </c>
      <c r="F19" s="51" t="s">
        <v>392</v>
      </c>
      <c r="G19">
        <v>440000</v>
      </c>
      <c r="H19" s="51" t="s">
        <v>75</v>
      </c>
      <c r="I19" t="s">
        <v>434</v>
      </c>
      <c r="J19" s="51" t="s">
        <v>139</v>
      </c>
      <c r="K19">
        <v>440000</v>
      </c>
      <c r="L19">
        <v>0</v>
      </c>
      <c r="M19">
        <v>11000</v>
      </c>
      <c r="N19">
        <v>2.5000000000000001E-2</v>
      </c>
    </row>
    <row r="20" spans="1:14" x14ac:dyDescent="0.2">
      <c r="A20" s="51" t="s">
        <v>93</v>
      </c>
      <c r="B20" s="51" t="s">
        <v>94</v>
      </c>
      <c r="C20" s="51" t="s">
        <v>65</v>
      </c>
      <c r="D20" s="51" t="s">
        <v>66</v>
      </c>
      <c r="E20" s="51" t="s">
        <v>419</v>
      </c>
      <c r="F20" s="51" t="s">
        <v>420</v>
      </c>
      <c r="G20">
        <v>530000</v>
      </c>
      <c r="H20" s="51" t="s">
        <v>75</v>
      </c>
      <c r="I20" t="s">
        <v>434</v>
      </c>
      <c r="J20" s="51" t="s">
        <v>151</v>
      </c>
      <c r="K20">
        <v>530000</v>
      </c>
      <c r="L20">
        <v>0</v>
      </c>
      <c r="M20">
        <v>13000</v>
      </c>
      <c r="N20">
        <v>2.4528301886792499E-2</v>
      </c>
    </row>
    <row r="21" spans="1:14" x14ac:dyDescent="0.2">
      <c r="A21" s="51" t="s">
        <v>73</v>
      </c>
      <c r="B21" s="51" t="s">
        <v>74</v>
      </c>
      <c r="C21" s="51" t="s">
        <v>65</v>
      </c>
      <c r="D21" s="51" t="s">
        <v>66</v>
      </c>
      <c r="E21" s="51" t="s">
        <v>402</v>
      </c>
      <c r="F21" s="51" t="s">
        <v>403</v>
      </c>
      <c r="G21">
        <v>270000</v>
      </c>
      <c r="H21" s="51" t="s">
        <v>75</v>
      </c>
      <c r="I21" t="s">
        <v>387</v>
      </c>
      <c r="J21" s="51" t="s">
        <v>132</v>
      </c>
      <c r="K21">
        <v>270000</v>
      </c>
      <c r="L21">
        <v>0</v>
      </c>
      <c r="M21">
        <v>4000</v>
      </c>
      <c r="N21">
        <v>1.48148148148148E-2</v>
      </c>
    </row>
    <row r="22" spans="1:14" x14ac:dyDescent="0.2">
      <c r="A22" s="51" t="s">
        <v>104</v>
      </c>
      <c r="B22" s="51" t="s">
        <v>105</v>
      </c>
      <c r="C22" s="51" t="s">
        <v>99</v>
      </c>
      <c r="D22" s="51" t="s">
        <v>61</v>
      </c>
      <c r="E22" s="51" t="s">
        <v>429</v>
      </c>
      <c r="F22" s="51" t="s">
        <v>423</v>
      </c>
      <c r="G22">
        <v>130000</v>
      </c>
      <c r="H22" s="51" t="s">
        <v>72</v>
      </c>
      <c r="I22" t="s">
        <v>390</v>
      </c>
      <c r="J22" s="51"/>
    </row>
    <row r="23" spans="1:14" x14ac:dyDescent="0.2">
      <c r="A23" s="51" t="s">
        <v>69</v>
      </c>
      <c r="B23" s="51" t="s">
        <v>70</v>
      </c>
      <c r="C23" s="51" t="s">
        <v>71</v>
      </c>
      <c r="D23" s="51" t="s">
        <v>54</v>
      </c>
      <c r="E23" s="51" t="s">
        <v>400</v>
      </c>
      <c r="F23" s="51" t="s">
        <v>401</v>
      </c>
      <c r="G23">
        <v>170000</v>
      </c>
      <c r="H23" s="51" t="s">
        <v>72</v>
      </c>
      <c r="I23" t="s">
        <v>390</v>
      </c>
      <c r="J23" s="51"/>
    </row>
    <row r="24" spans="1:14" x14ac:dyDescent="0.2">
      <c r="A24" s="51" t="s">
        <v>78</v>
      </c>
      <c r="B24" s="51" t="s">
        <v>79</v>
      </c>
      <c r="C24" s="51" t="s">
        <v>53</v>
      </c>
      <c r="D24" s="51" t="s">
        <v>46</v>
      </c>
      <c r="E24" s="51" t="s">
        <v>406</v>
      </c>
      <c r="F24" s="51" t="s">
        <v>407</v>
      </c>
      <c r="G24">
        <v>425000</v>
      </c>
      <c r="H24" s="51" t="s">
        <v>62</v>
      </c>
      <c r="I24" t="s">
        <v>434</v>
      </c>
      <c r="J24" s="51"/>
    </row>
    <row r="25" spans="1:14" x14ac:dyDescent="0.2">
      <c r="A25" s="51" t="s">
        <v>95</v>
      </c>
      <c r="B25" s="51" t="s">
        <v>96</v>
      </c>
      <c r="C25" s="51" t="s">
        <v>60</v>
      </c>
      <c r="D25" s="51" t="s">
        <v>54</v>
      </c>
      <c r="E25" s="51" t="s">
        <v>421</v>
      </c>
      <c r="F25" s="51" t="s">
        <v>422</v>
      </c>
      <c r="G25">
        <v>90000</v>
      </c>
      <c r="H25" s="51" t="s">
        <v>62</v>
      </c>
      <c r="I25" t="s">
        <v>390</v>
      </c>
      <c r="J25" s="51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D01D-0990-9B48-9D5B-8A04E1472338}">
  <dimension ref="A1:E20"/>
  <sheetViews>
    <sheetView tabSelected="1" workbookViewId="0">
      <selection activeCell="C24" sqref="C24"/>
    </sheetView>
  </sheetViews>
  <sheetFormatPr baseColWidth="10" defaultRowHeight="15" x14ac:dyDescent="0.2"/>
  <cols>
    <col min="1" max="1" width="51.83203125" customWidth="1"/>
    <col min="2" max="2" width="62" customWidth="1"/>
    <col min="3" max="3" width="9.1640625" customWidth="1"/>
    <col min="4" max="4" width="35.1640625" bestFit="1" customWidth="1"/>
    <col min="5" max="5" width="10.33203125" bestFit="1" customWidth="1"/>
    <col min="6" max="6" width="12.1640625" bestFit="1" customWidth="1"/>
    <col min="7" max="7" width="13.1640625" bestFit="1" customWidth="1"/>
    <col min="8" max="8" width="16.5" bestFit="1" customWidth="1"/>
    <col min="9" max="9" width="17.5" bestFit="1" customWidth="1"/>
  </cols>
  <sheetData>
    <row r="1" spans="1:5" ht="28" x14ac:dyDescent="0.35">
      <c r="A1" s="53" t="s">
        <v>463</v>
      </c>
      <c r="B1" s="52">
        <f>COUNTA(Missing_in_Finance[Project ID])</f>
        <v>4</v>
      </c>
    </row>
    <row r="2" spans="1:5" ht="28" x14ac:dyDescent="0.35">
      <c r="A2" s="53" t="s">
        <v>464</v>
      </c>
      <c r="B2" s="52">
        <f>COUNTA(Missing_in_PMO[Finance Code])</f>
        <v>2</v>
      </c>
    </row>
    <row r="3" spans="1:5" ht="29" thickBot="1" x14ac:dyDescent="0.4">
      <c r="A3" s="54" t="s">
        <v>465</v>
      </c>
      <c r="B3" s="55">
        <f>SUM(Spend_Q1[Amount])</f>
        <v>517000</v>
      </c>
    </row>
    <row r="4" spans="1:5" ht="16" thickTop="1" x14ac:dyDescent="0.2"/>
    <row r="5" spans="1:5" ht="29" x14ac:dyDescent="0.2">
      <c r="A5" s="58" t="s">
        <v>467</v>
      </c>
      <c r="B5" s="58"/>
    </row>
    <row r="6" spans="1:5" x14ac:dyDescent="0.2">
      <c r="A6" s="39" t="s">
        <v>466</v>
      </c>
      <c r="B6" s="39" t="s">
        <v>303</v>
      </c>
    </row>
    <row r="7" spans="1:5" x14ac:dyDescent="0.2">
      <c r="A7" s="39" t="s">
        <v>300</v>
      </c>
      <c r="B7" t="s">
        <v>390</v>
      </c>
      <c r="C7" t="s">
        <v>387</v>
      </c>
      <c r="D7" t="s">
        <v>434</v>
      </c>
      <c r="E7" t="s">
        <v>301</v>
      </c>
    </row>
    <row r="8" spans="1:5" x14ac:dyDescent="0.2">
      <c r="A8" s="40" t="s">
        <v>54</v>
      </c>
      <c r="B8" s="43">
        <v>860000</v>
      </c>
      <c r="C8" s="43"/>
      <c r="D8" s="43">
        <v>875000</v>
      </c>
      <c r="E8" s="43">
        <v>1735000</v>
      </c>
    </row>
    <row r="9" spans="1:5" x14ac:dyDescent="0.2">
      <c r="A9" s="40" t="s">
        <v>66</v>
      </c>
      <c r="B9" s="43"/>
      <c r="C9" s="43">
        <v>605000</v>
      </c>
      <c r="D9" s="43">
        <v>935000</v>
      </c>
      <c r="E9" s="43">
        <v>1540000</v>
      </c>
    </row>
    <row r="10" spans="1:5" x14ac:dyDescent="0.2">
      <c r="A10" s="40" t="s">
        <v>46</v>
      </c>
      <c r="B10" s="43">
        <v>345000</v>
      </c>
      <c r="C10" s="43">
        <v>360000</v>
      </c>
      <c r="D10" s="43">
        <v>1895000</v>
      </c>
      <c r="E10" s="43">
        <v>2600000</v>
      </c>
    </row>
    <row r="11" spans="1:5" x14ac:dyDescent="0.2">
      <c r="A11" s="40" t="s">
        <v>61</v>
      </c>
      <c r="B11" s="43">
        <v>130000</v>
      </c>
      <c r="C11" s="43">
        <v>395000</v>
      </c>
      <c r="D11" s="43">
        <v>1710000</v>
      </c>
      <c r="E11" s="43">
        <v>2235000</v>
      </c>
    </row>
    <row r="12" spans="1:5" x14ac:dyDescent="0.2">
      <c r="A12" s="40" t="s">
        <v>301</v>
      </c>
      <c r="B12" s="43">
        <v>1335000</v>
      </c>
      <c r="C12" s="43">
        <v>1360000</v>
      </c>
      <c r="D12" s="43">
        <v>5415000</v>
      </c>
      <c r="E12" s="43">
        <v>8110000</v>
      </c>
    </row>
    <row r="14" spans="1:5" ht="29" customHeight="1" x14ac:dyDescent="0.35">
      <c r="A14" s="57" t="s">
        <v>468</v>
      </c>
      <c r="B14" s="57"/>
    </row>
    <row r="15" spans="1:5" ht="16" x14ac:dyDescent="0.2">
      <c r="A15" s="45" t="s">
        <v>469</v>
      </c>
      <c r="B15" s="59" t="s">
        <v>470</v>
      </c>
      <c r="C15" s="45" t="s">
        <v>471</v>
      </c>
      <c r="D15" s="59" t="s">
        <v>472</v>
      </c>
    </row>
    <row r="16" spans="1:5" ht="15" customHeight="1" x14ac:dyDescent="0.2">
      <c r="A16" s="60">
        <v>1</v>
      </c>
      <c r="B16" s="40" t="s">
        <v>473</v>
      </c>
      <c r="C16" s="56" t="s">
        <v>474</v>
      </c>
      <c r="D16" s="40" t="s">
        <v>475</v>
      </c>
    </row>
    <row r="17" spans="1:4" ht="15" customHeight="1" x14ac:dyDescent="0.2">
      <c r="A17" s="60">
        <v>2</v>
      </c>
      <c r="B17" s="40" t="s">
        <v>476</v>
      </c>
      <c r="C17" s="56" t="s">
        <v>387</v>
      </c>
      <c r="D17" s="40" t="s">
        <v>477</v>
      </c>
    </row>
    <row r="18" spans="1:4" ht="15" customHeight="1" x14ac:dyDescent="0.2">
      <c r="A18" s="60">
        <v>3</v>
      </c>
      <c r="B18" s="40" t="s">
        <v>478</v>
      </c>
      <c r="C18" s="56" t="s">
        <v>479</v>
      </c>
      <c r="D18" s="40" t="s">
        <v>480</v>
      </c>
    </row>
    <row r="19" spans="1:4" ht="15" customHeight="1" x14ac:dyDescent="0.2">
      <c r="A19" s="60">
        <v>4</v>
      </c>
      <c r="B19" s="40" t="s">
        <v>481</v>
      </c>
      <c r="C19" s="56" t="s">
        <v>387</v>
      </c>
      <c r="D19" s="40" t="s">
        <v>482</v>
      </c>
    </row>
    <row r="20" spans="1:4" x14ac:dyDescent="0.2">
      <c r="A20" s="61">
        <v>5</v>
      </c>
      <c r="B20" s="40" t="s">
        <v>483</v>
      </c>
      <c r="C20" s="56" t="s">
        <v>387</v>
      </c>
      <c r="D20" s="40" t="s">
        <v>484</v>
      </c>
    </row>
  </sheetData>
  <mergeCells count="2">
    <mergeCell ref="A5:B5"/>
    <mergeCell ref="A14:B14"/>
  </mergeCells>
  <conditionalFormatting sqref="C16:C20">
    <cfRule type="containsText" dxfId="8" priority="3" operator="containsText" text="High">
      <formula>NOT(ISERROR(SEARCH("High",C16)))</formula>
    </cfRule>
    <cfRule type="containsText" dxfId="9" priority="2" operator="containsText" text="Medium">
      <formula>NOT(ISERROR(SEARCH("Medium",C16)))</formula>
    </cfRule>
    <cfRule type="containsText" dxfId="7" priority="1" operator="containsText" text="Low">
      <formula>NOT(ISERROR(SEARCH("Low",C16)))</formula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1AE2C-2C89-4B46-BDE1-B733B45D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Start Here</vt:lpstr>
      <vt:lpstr>Register_A</vt:lpstr>
      <vt:lpstr>Pivot_Status</vt:lpstr>
      <vt:lpstr>Register_B</vt:lpstr>
      <vt:lpstr>Pivot_risk</vt:lpstr>
      <vt:lpstr>Risk_Log</vt:lpstr>
      <vt:lpstr>Ex1_Clean</vt:lpstr>
      <vt:lpstr>Ex2_Crosswalk</vt:lpstr>
      <vt:lpstr>Ex3_Risks</vt:lpstr>
      <vt:lpstr>Ex4_Summary</vt:lpstr>
      <vt:lpstr>Answers</vt:lpstr>
      <vt:lpstr>Issue_Log</vt:lpstr>
      <vt:lpstr>finance_Clean</vt:lpstr>
      <vt:lpstr>PMO_Clean</vt:lpstr>
      <vt:lpstr>Spend_Q1</vt:lpstr>
      <vt:lpstr>Missing_in_Finance</vt:lpstr>
      <vt:lpstr>Crosswalk</vt:lpstr>
      <vt:lpstr>Spend_by_Code</vt:lpstr>
      <vt:lpstr>Spend_by_Category</vt:lpstr>
      <vt:lpstr>forecast_by_quarter</vt:lpstr>
      <vt:lpstr>Missing_in_PMO</vt:lpstr>
      <vt:lpstr>Budget_Burn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Bromish Bista</cp:lastModifiedBy>
  <cp:revision>0</cp:revision>
  <dcterms:created xsi:type="dcterms:W3CDTF">2026-09-24T05:27:43Z</dcterms:created>
  <dcterms:modified xsi:type="dcterms:W3CDTF">2026-10-03T03:46:46Z</dcterms:modified>
  <dc:language>en-US</dc:language>
</cp:coreProperties>
</file>